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i\Downloads\"/>
    </mc:Choice>
  </mc:AlternateContent>
  <xr:revisionPtr revIDLastSave="0" documentId="13_ncr:1_{135C51D1-6C71-4348-9351-30B818A68081}" xr6:coauthVersionLast="47" xr6:coauthVersionMax="47" xr10:uidLastSave="{00000000-0000-0000-0000-000000000000}"/>
  <bookViews>
    <workbookView xWindow="-120" yWindow="-120" windowWidth="29040" windowHeight="15720" activeTab="1" xr2:uid="{AAED40D2-F271-4DD7-9F95-D44BD4B32B8B}"/>
  </bookViews>
  <sheets>
    <sheet name="Guest List - for print" sheetId="2" r:id="rId1"/>
    <sheet name="Seating Plan" sheetId="4" r:id="rId2"/>
  </sheets>
  <definedNames>
    <definedName name="_xlnm._FilterDatabase" localSheetId="0" hidden="1">'Guest List - for print'!$A$1:$E$162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4" l="1"/>
  <c r="F40" i="4"/>
  <c r="L38" i="4"/>
  <c r="K38" i="4"/>
  <c r="J38" i="4"/>
  <c r="I38" i="4"/>
  <c r="H38" i="4"/>
  <c r="G38" i="4"/>
  <c r="Y57" i="4"/>
  <c r="Y56" i="4"/>
  <c r="Y55" i="4"/>
  <c r="Y54" i="4"/>
  <c r="Y53" i="4"/>
  <c r="Y52" i="4"/>
  <c r="Y51" i="4"/>
  <c r="Y50" i="4"/>
  <c r="Y49" i="4"/>
  <c r="Y48" i="4"/>
  <c r="Y47" i="4"/>
  <c r="W57" i="4"/>
  <c r="W56" i="4"/>
  <c r="W55" i="4"/>
  <c r="W54" i="4"/>
  <c r="W53" i="4"/>
  <c r="W52" i="4"/>
  <c r="W51" i="4"/>
  <c r="W50" i="4"/>
  <c r="W49" i="4"/>
  <c r="W48" i="4"/>
  <c r="W47" i="4"/>
  <c r="T57" i="4"/>
  <c r="T56" i="4"/>
  <c r="T55" i="4"/>
  <c r="T54" i="4"/>
  <c r="T53" i="4"/>
  <c r="T52" i="4"/>
  <c r="T51" i="4"/>
  <c r="T50" i="4"/>
  <c r="T49" i="4"/>
  <c r="T48" i="4"/>
  <c r="T47" i="4"/>
  <c r="R56" i="4"/>
  <c r="R55" i="4"/>
  <c r="R54" i="4"/>
  <c r="R53" i="4"/>
  <c r="R52" i="4"/>
  <c r="R51" i="4"/>
  <c r="R50" i="4"/>
  <c r="R49" i="4"/>
  <c r="R48" i="4"/>
  <c r="R47" i="4"/>
  <c r="O56" i="4"/>
  <c r="O55" i="4"/>
  <c r="O54" i="4"/>
  <c r="O53" i="4"/>
  <c r="O52" i="4"/>
  <c r="O51" i="4"/>
  <c r="O50" i="4"/>
  <c r="O49" i="4"/>
  <c r="O48" i="4"/>
  <c r="O47" i="4"/>
  <c r="M56" i="4"/>
  <c r="M55" i="4"/>
  <c r="M54" i="4"/>
  <c r="M53" i="4"/>
  <c r="M52" i="4"/>
  <c r="M51" i="4"/>
  <c r="M50" i="4"/>
  <c r="M49" i="4"/>
  <c r="M48" i="4"/>
  <c r="M47" i="4"/>
  <c r="J56" i="4"/>
  <c r="J55" i="4"/>
  <c r="J54" i="4"/>
  <c r="J53" i="4"/>
  <c r="J52" i="4"/>
  <c r="J51" i="4"/>
  <c r="J50" i="4"/>
  <c r="J49" i="4"/>
  <c r="J48" i="4"/>
  <c r="J47" i="4"/>
  <c r="H56" i="4"/>
  <c r="H55" i="4"/>
  <c r="H54" i="4"/>
  <c r="H53" i="4"/>
  <c r="H52" i="4"/>
  <c r="H51" i="4"/>
  <c r="H50" i="4"/>
  <c r="H49" i="4"/>
  <c r="H48" i="4"/>
  <c r="H47" i="4"/>
  <c r="E51" i="4"/>
  <c r="E50" i="4"/>
  <c r="E49" i="4"/>
  <c r="E48" i="4"/>
  <c r="E47" i="4"/>
  <c r="C51" i="4"/>
  <c r="C50" i="4"/>
  <c r="C49" i="4"/>
  <c r="C48" i="4"/>
  <c r="C47" i="4"/>
  <c r="L31" i="4"/>
  <c r="L30" i="4"/>
  <c r="L29" i="4"/>
  <c r="L28" i="4"/>
  <c r="L27" i="4"/>
  <c r="L26" i="4"/>
  <c r="L25" i="4"/>
  <c r="L24" i="4"/>
  <c r="L23" i="4"/>
  <c r="L22" i="4"/>
  <c r="J31" i="4"/>
  <c r="J30" i="4"/>
  <c r="J29" i="4"/>
  <c r="J28" i="4"/>
  <c r="J27" i="4"/>
  <c r="J26" i="4"/>
  <c r="J25" i="4"/>
  <c r="J24" i="4"/>
  <c r="J23" i="4"/>
  <c r="J22" i="4"/>
  <c r="H31" i="4"/>
  <c r="H30" i="4"/>
  <c r="H29" i="4"/>
  <c r="H28" i="4"/>
  <c r="H27" i="4"/>
  <c r="H26" i="4"/>
  <c r="H25" i="4"/>
  <c r="H24" i="4"/>
  <c r="H23" i="4"/>
  <c r="H22" i="4"/>
  <c r="M15" i="4"/>
  <c r="M14" i="4"/>
  <c r="M13" i="4"/>
  <c r="M12" i="4"/>
  <c r="M11" i="4"/>
  <c r="M10" i="4"/>
  <c r="M9" i="4"/>
  <c r="M8" i="4"/>
  <c r="M7" i="4"/>
  <c r="M6" i="4"/>
  <c r="J15" i="4"/>
  <c r="J14" i="4"/>
  <c r="J13" i="4"/>
  <c r="J12" i="4"/>
  <c r="J11" i="4"/>
  <c r="J10" i="4"/>
  <c r="J9" i="4"/>
  <c r="J8" i="4"/>
  <c r="J7" i="4"/>
  <c r="J6" i="4"/>
  <c r="G15" i="4"/>
  <c r="G14" i="4"/>
  <c r="G13" i="4"/>
  <c r="G12" i="4"/>
  <c r="G11" i="4"/>
  <c r="G10" i="4"/>
  <c r="G9" i="4"/>
  <c r="G8" i="4"/>
  <c r="G7" i="4"/>
  <c r="G6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AG2" i="4"/>
  <c r="J36" i="4" l="1"/>
  <c r="J34" i="4"/>
  <c r="J35" i="4"/>
  <c r="N45" i="4"/>
  <c r="I45" i="4"/>
  <c r="D45" i="4"/>
  <c r="X44" i="4"/>
  <c r="I42" i="4"/>
  <c r="X45" i="4"/>
  <c r="X42" i="4"/>
  <c r="X43" i="4"/>
  <c r="S45" i="4"/>
  <c r="I43" i="4"/>
  <c r="I44" i="4"/>
  <c r="N42" i="4"/>
  <c r="N43" i="4"/>
  <c r="N44" i="4"/>
  <c r="S42" i="4"/>
  <c r="S43" i="4"/>
  <c r="S44" i="4"/>
  <c r="J4" i="4"/>
  <c r="J20" i="4"/>
  <c r="M4" i="4"/>
  <c r="D43" i="4"/>
  <c r="M3" i="4"/>
  <c r="J19" i="4"/>
  <c r="J2" i="4"/>
  <c r="D42" i="4"/>
  <c r="J17" i="4"/>
  <c r="J18" i="4"/>
  <c r="D44" i="4"/>
  <c r="J3" i="4"/>
  <c r="M1" i="4"/>
  <c r="M2" i="4"/>
  <c r="J1" i="4"/>
  <c r="G4" i="4"/>
  <c r="A1" i="4" l="1"/>
  <c r="J33" i="4"/>
  <c r="G3" i="4"/>
  <c r="G2" i="4"/>
  <c r="G1" i="4"/>
</calcChain>
</file>

<file path=xl/sharedStrings.xml><?xml version="1.0" encoding="utf-8"?>
<sst xmlns="http://schemas.openxmlformats.org/spreadsheetml/2006/main" count="1186" uniqueCount="408">
  <si>
    <t>First Name</t>
  </si>
  <si>
    <t>Last Name</t>
  </si>
  <si>
    <t>Cheryl</t>
  </si>
  <si>
    <t>Stewart</t>
  </si>
  <si>
    <t>Cheryl Stewart</t>
  </si>
  <si>
    <t>Bingzhe Liew</t>
  </si>
  <si>
    <t>Da Hui Tou</t>
  </si>
  <si>
    <t>Ashley Tay</t>
  </si>
  <si>
    <t>Shu Li</t>
  </si>
  <si>
    <t>Joseph Tay</t>
  </si>
  <si>
    <t>Shirley Lim</t>
  </si>
  <si>
    <t>Keng Piau Tay</t>
  </si>
  <si>
    <t>Ooi Khiang Lim</t>
  </si>
  <si>
    <t>Jordan Tay</t>
  </si>
  <si>
    <t>Henri</t>
  </si>
  <si>
    <t>Ong</t>
  </si>
  <si>
    <t>Henri Ong</t>
  </si>
  <si>
    <t>Xu Bin Kuang</t>
  </si>
  <si>
    <t>Khai Jieq Koh</t>
  </si>
  <si>
    <t>Jia Wei Lee</t>
  </si>
  <si>
    <t>Michelle Koh</t>
  </si>
  <si>
    <t>Nicole Stewart</t>
  </si>
  <si>
    <t>Ching Yea Yeo</t>
  </si>
  <si>
    <t>Annie Tan</t>
  </si>
  <si>
    <t>Mathilda Kam</t>
  </si>
  <si>
    <t>Kye Li Tan</t>
  </si>
  <si>
    <t>Rosalie</t>
  </si>
  <si>
    <t>Brian Voo</t>
  </si>
  <si>
    <t>Samuel Ng</t>
  </si>
  <si>
    <t>Chong En Chai</t>
  </si>
  <si>
    <t>Kimberly Chen</t>
  </si>
  <si>
    <t>Gary Stewart</t>
  </si>
  <si>
    <t>Kah Heng Lim</t>
  </si>
  <si>
    <t>Alycia Tay</t>
  </si>
  <si>
    <t>Maggie Lim</t>
  </si>
  <si>
    <t>Jacqueline Tay</t>
  </si>
  <si>
    <t>Michelle</t>
  </si>
  <si>
    <t>Michelle Stewart</t>
  </si>
  <si>
    <t>Wynton Lee</t>
  </si>
  <si>
    <t>Chee Hau Cheong</t>
  </si>
  <si>
    <t>Ashley Sern</t>
  </si>
  <si>
    <t>Eshin Ang</t>
  </si>
  <si>
    <t>Li Ling Lim</t>
  </si>
  <si>
    <t>Yuki Gan</t>
  </si>
  <si>
    <t>Amberly Tay</t>
  </si>
  <si>
    <t>Sam Lim</t>
  </si>
  <si>
    <t>Poi Kim Tay</t>
  </si>
  <si>
    <t>Gary</t>
  </si>
  <si>
    <t>Jody Goh</t>
  </si>
  <si>
    <t>Elanor Oh</t>
  </si>
  <si>
    <t>Richard Lim</t>
  </si>
  <si>
    <t>Sean Ng</t>
  </si>
  <si>
    <t>Kenny Tay</t>
  </si>
  <si>
    <t>Kah Kee Lim</t>
  </si>
  <si>
    <t>Tony Ang</t>
  </si>
  <si>
    <t>Cynthia Ch'ng</t>
  </si>
  <si>
    <t>Jarrod Stewart</t>
  </si>
  <si>
    <t>Justin Lim</t>
  </si>
  <si>
    <t>Li Ling</t>
  </si>
  <si>
    <t>Lim</t>
  </si>
  <si>
    <t>Maeson Chan</t>
  </si>
  <si>
    <t>Summer Chong</t>
  </si>
  <si>
    <t>Jian Long Quek</t>
  </si>
  <si>
    <t>Brenda Chong</t>
  </si>
  <si>
    <t>Sharon Lim</t>
  </si>
  <si>
    <t>Elaine Loh</t>
  </si>
  <si>
    <t>Sokha Pheap</t>
  </si>
  <si>
    <t>Tina Lim</t>
  </si>
  <si>
    <t>Bryan Stewart</t>
  </si>
  <si>
    <t>Joanne Wong</t>
  </si>
  <si>
    <t>Marcel</t>
  </si>
  <si>
    <t>Marcel Stewart</t>
  </si>
  <si>
    <t>Jamie Lim</t>
  </si>
  <si>
    <t>Lyn Dee Lim</t>
  </si>
  <si>
    <t>Onnelea Sandosam</t>
  </si>
  <si>
    <t>Zheng Chia</t>
  </si>
  <si>
    <t>Yong Fook Lim</t>
  </si>
  <si>
    <t>Ming Fei Lim</t>
  </si>
  <si>
    <t>Tan TL</t>
  </si>
  <si>
    <t>Doreen Lim</t>
  </si>
  <si>
    <t>Daryl Stewart</t>
  </si>
  <si>
    <t>Jazree Lim</t>
  </si>
  <si>
    <t>Elaine</t>
  </si>
  <si>
    <t>Elaine Stewart</t>
  </si>
  <si>
    <t>Dave Sanjay Shah</t>
  </si>
  <si>
    <t>Henna Sanghvi</t>
  </si>
  <si>
    <t>Sue Peng Chew</t>
  </si>
  <si>
    <t>Zhe Hui Lim</t>
  </si>
  <si>
    <t>Sau Moi Wong</t>
  </si>
  <si>
    <t>Ming Jun Lim</t>
  </si>
  <si>
    <t xml:space="preserve">Samantha </t>
  </si>
  <si>
    <t>Choon Koo</t>
  </si>
  <si>
    <t>Nelson Danker</t>
  </si>
  <si>
    <t>Wei Zer Goh</t>
  </si>
  <si>
    <t>Jarrod</t>
  </si>
  <si>
    <t>Samson Hong</t>
  </si>
  <si>
    <t>Xin-Dee Low</t>
  </si>
  <si>
    <t>Priscilla Lim</t>
  </si>
  <si>
    <t>Eunice Lim</t>
  </si>
  <si>
    <t>Jack Lim</t>
  </si>
  <si>
    <t>Hui Ling Lim</t>
  </si>
  <si>
    <t>Veronica Lim</t>
  </si>
  <si>
    <t>Jason Mahendran</t>
  </si>
  <si>
    <t>Jeanna Lim</t>
  </si>
  <si>
    <t>Ooi Khiang</t>
  </si>
  <si>
    <t>Izzat Nasser</t>
  </si>
  <si>
    <t>Reuben Lim</t>
  </si>
  <si>
    <t>Isaac Hew</t>
  </si>
  <si>
    <t>Xiao Rou Tay</t>
  </si>
  <si>
    <t>Sok Sen Lee</t>
  </si>
  <si>
    <t>Vooi Hin Chang</t>
  </si>
  <si>
    <t>Chow Ching Leow</t>
  </si>
  <si>
    <t>Julynn Lim</t>
  </si>
  <si>
    <t>Mathilda</t>
  </si>
  <si>
    <t>Kam</t>
  </si>
  <si>
    <t>Hui Yi Foo</t>
  </si>
  <si>
    <t>Hui Min Lim</t>
  </si>
  <si>
    <t>Jason Leow</t>
  </si>
  <si>
    <t>Tania Hsu</t>
  </si>
  <si>
    <t>Justin</t>
  </si>
  <si>
    <t>Dharshen Naidu</t>
  </si>
  <si>
    <t>Derick Choe</t>
  </si>
  <si>
    <t>Brian Hsu</t>
  </si>
  <si>
    <t>Joanne</t>
  </si>
  <si>
    <t>Wong</t>
  </si>
  <si>
    <t>Thivya Manokaran</t>
  </si>
  <si>
    <t>Hui Yee Lim</t>
  </si>
  <si>
    <t>Sze Yin Tan</t>
  </si>
  <si>
    <t>Natt-Li Chiew</t>
  </si>
  <si>
    <t>Jazree</t>
  </si>
  <si>
    <t>Sha Lin Ooi</t>
  </si>
  <si>
    <t>Tuck Chee Wong</t>
  </si>
  <si>
    <t>Angeline Stewart</t>
  </si>
  <si>
    <t>Sabrina Seow</t>
  </si>
  <si>
    <t>Li-Anne Chiew</t>
  </si>
  <si>
    <t>Wei Zer</t>
  </si>
  <si>
    <t>Goh</t>
  </si>
  <si>
    <t>Megan Ooi</t>
  </si>
  <si>
    <t>Anny Lim</t>
  </si>
  <si>
    <t>Carol Stewart</t>
  </si>
  <si>
    <t>Soo Han Khoo</t>
  </si>
  <si>
    <t>Cae-Li Chiew</t>
  </si>
  <si>
    <t>Jeanna</t>
  </si>
  <si>
    <t>Zheng Yang Au</t>
  </si>
  <si>
    <t>Pai San Lam</t>
  </si>
  <si>
    <t>Matthew Krishnan</t>
  </si>
  <si>
    <t>Shun Ning Tan</t>
  </si>
  <si>
    <t>David Soh</t>
  </si>
  <si>
    <t>Julynn</t>
  </si>
  <si>
    <t>Yen Ting Chong</t>
  </si>
  <si>
    <t>Karen Lim</t>
  </si>
  <si>
    <t>Linda Stewart</t>
  </si>
  <si>
    <t>Evan Soo</t>
  </si>
  <si>
    <t>Jia Ying Koo</t>
  </si>
  <si>
    <t>Maggie</t>
  </si>
  <si>
    <t>Seng Yong Wong</t>
  </si>
  <si>
    <t>Colin Stewart</t>
  </si>
  <si>
    <t>Khe Lyn Lim</t>
  </si>
  <si>
    <t>Yong Jian Koo</t>
  </si>
  <si>
    <t>Tania</t>
  </si>
  <si>
    <t>Hsu</t>
  </si>
  <si>
    <t>Bryan Cheng</t>
  </si>
  <si>
    <t>Hui Jye Lim</t>
  </si>
  <si>
    <t xml:space="preserve">Sarena </t>
  </si>
  <si>
    <t>David Chew</t>
  </si>
  <si>
    <t>Will Lim</t>
  </si>
  <si>
    <t>Sam</t>
  </si>
  <si>
    <t>Jamie Cheong</t>
  </si>
  <si>
    <t>Tiong Zin Loh</t>
  </si>
  <si>
    <t>Regina Rathanam</t>
  </si>
  <si>
    <t>Chia Weng Teoh</t>
  </si>
  <si>
    <t>Wayne Lim</t>
  </si>
  <si>
    <t>Cynthia</t>
  </si>
  <si>
    <t>Ch'ng</t>
  </si>
  <si>
    <t>Skylar Yeo</t>
  </si>
  <si>
    <t>Saimon Senivasan</t>
  </si>
  <si>
    <t>Sheryl Teo</t>
  </si>
  <si>
    <t>Will</t>
  </si>
  <si>
    <t>Jian-Jie Phang</t>
  </si>
  <si>
    <t>Ronald Teoh</t>
  </si>
  <si>
    <t>Wayne</t>
  </si>
  <si>
    <t>Nick Edmondes</t>
  </si>
  <si>
    <t>Joyi Mok</t>
  </si>
  <si>
    <t>Tina</t>
  </si>
  <si>
    <t>Sunil Singh</t>
  </si>
  <si>
    <t>Natt-Li</t>
  </si>
  <si>
    <t>Chiew</t>
  </si>
  <si>
    <t>Jessica Wee</t>
  </si>
  <si>
    <t>Li-Anne</t>
  </si>
  <si>
    <t>Angeline</t>
  </si>
  <si>
    <t>Keat Li Chuah</t>
  </si>
  <si>
    <t>Bryan</t>
  </si>
  <si>
    <t>Kamun Thoe</t>
  </si>
  <si>
    <t>Daryl</t>
  </si>
  <si>
    <t>Jacynta Chan</t>
  </si>
  <si>
    <t>Carol</t>
  </si>
  <si>
    <t>Weng Hou Cheng</t>
  </si>
  <si>
    <t>Matthew</t>
  </si>
  <si>
    <t>Krishnan</t>
  </si>
  <si>
    <t>Poh Ling Yap</t>
  </si>
  <si>
    <t>Jason</t>
  </si>
  <si>
    <t>Mahendran</t>
  </si>
  <si>
    <t>Jhee Kuen Lam</t>
  </si>
  <si>
    <t>Doreen</t>
  </si>
  <si>
    <t>Choon</t>
  </si>
  <si>
    <t>Koo</t>
  </si>
  <si>
    <t>Jia Ying</t>
  </si>
  <si>
    <t>Cae-Li</t>
  </si>
  <si>
    <t>David</t>
  </si>
  <si>
    <t>Soh</t>
  </si>
  <si>
    <t>Eshin</t>
  </si>
  <si>
    <t>Ang</t>
  </si>
  <si>
    <t>Sean</t>
  </si>
  <si>
    <t>Ng</t>
  </si>
  <si>
    <t>Brenda</t>
  </si>
  <si>
    <t>Chong</t>
  </si>
  <si>
    <t>Zheng</t>
  </si>
  <si>
    <t>Chia</t>
  </si>
  <si>
    <t>Hui Yi</t>
  </si>
  <si>
    <t>Foo</t>
  </si>
  <si>
    <t>Dharshen</t>
  </si>
  <si>
    <t>Naidu</t>
  </si>
  <si>
    <t>Thivya</t>
  </si>
  <si>
    <t>Manokaran</t>
  </si>
  <si>
    <t>Sha Lin</t>
  </si>
  <si>
    <t>Ooi</t>
  </si>
  <si>
    <t>Megan</t>
  </si>
  <si>
    <t>Da Hui</t>
  </si>
  <si>
    <t>Tou</t>
  </si>
  <si>
    <t>Samuel</t>
  </si>
  <si>
    <t>Chee Hau</t>
  </si>
  <si>
    <t>Cheong</t>
  </si>
  <si>
    <t>Elanor</t>
  </si>
  <si>
    <t>Oh</t>
  </si>
  <si>
    <t>Summer</t>
  </si>
  <si>
    <t>Lyn Dee</t>
  </si>
  <si>
    <t>Henna</t>
  </si>
  <si>
    <t>Sanghvi</t>
  </si>
  <si>
    <t>Koh</t>
  </si>
  <si>
    <t>Kimberly</t>
  </si>
  <si>
    <t>Chen</t>
  </si>
  <si>
    <t>Xiao Rou</t>
  </si>
  <si>
    <t>Tay</t>
  </si>
  <si>
    <t>Cheng</t>
  </si>
  <si>
    <t>Jamie</t>
  </si>
  <si>
    <t>Skylar</t>
  </si>
  <si>
    <t>Yeo</t>
  </si>
  <si>
    <t>Jian-Jie</t>
  </si>
  <si>
    <t>Phang</t>
  </si>
  <si>
    <t>Nick</t>
  </si>
  <si>
    <t>Edmondes</t>
  </si>
  <si>
    <t>Sunil</t>
  </si>
  <si>
    <t>Singh</t>
  </si>
  <si>
    <t>Jessica</t>
  </si>
  <si>
    <t>Wee</t>
  </si>
  <si>
    <t>Veronica</t>
  </si>
  <si>
    <t>Chow Ching</t>
  </si>
  <si>
    <t>Leow</t>
  </si>
  <si>
    <t>Regina</t>
  </si>
  <si>
    <t>Rathanam</t>
  </si>
  <si>
    <t>Saimon</t>
  </si>
  <si>
    <t>Senivasan</t>
  </si>
  <si>
    <t>Kenny</t>
  </si>
  <si>
    <t>Sharon</t>
  </si>
  <si>
    <t>Jordan</t>
  </si>
  <si>
    <t>Kye Li</t>
  </si>
  <si>
    <t>Tan</t>
  </si>
  <si>
    <t>Jacqueline</t>
  </si>
  <si>
    <t>Derick</t>
  </si>
  <si>
    <t>Choe</t>
  </si>
  <si>
    <t>Sze Yin</t>
  </si>
  <si>
    <t>Sabrina</t>
  </si>
  <si>
    <t>Seow</t>
  </si>
  <si>
    <t>Soo Han</t>
  </si>
  <si>
    <t>Khoo</t>
  </si>
  <si>
    <t>Shun Ning</t>
  </si>
  <si>
    <t>Evan</t>
  </si>
  <si>
    <t>Soo</t>
  </si>
  <si>
    <t>Khe Lyn</t>
  </si>
  <si>
    <t>Chew</t>
  </si>
  <si>
    <t>Ashley</t>
  </si>
  <si>
    <t>Jia Wei</t>
  </si>
  <si>
    <t>Lee</t>
  </si>
  <si>
    <t>Chong En</t>
  </si>
  <si>
    <t>Chai</t>
  </si>
  <si>
    <t>Khai Jieq</t>
  </si>
  <si>
    <t>Bingzhe</t>
  </si>
  <si>
    <t>Liew</t>
  </si>
  <si>
    <t>Xu Bin</t>
  </si>
  <si>
    <t>Kuang</t>
  </si>
  <si>
    <t>Brian</t>
  </si>
  <si>
    <t>Voo</t>
  </si>
  <si>
    <t>Sern</t>
  </si>
  <si>
    <t>Richard</t>
  </si>
  <si>
    <t>Wynton</t>
  </si>
  <si>
    <t>Jody</t>
  </si>
  <si>
    <t>Jian Long</t>
  </si>
  <si>
    <t>Quek</t>
  </si>
  <si>
    <t>Nicole</t>
  </si>
  <si>
    <t>Joseph</t>
  </si>
  <si>
    <t>Keng Piau</t>
  </si>
  <si>
    <t>Annie</t>
  </si>
  <si>
    <t>Alycia</t>
  </si>
  <si>
    <t>Amberly</t>
  </si>
  <si>
    <t>Linda</t>
  </si>
  <si>
    <t>Nelson</t>
  </si>
  <si>
    <t>Danker</t>
  </si>
  <si>
    <t>Poi Kim</t>
  </si>
  <si>
    <t>Sue Peng</t>
  </si>
  <si>
    <t>Maeson</t>
  </si>
  <si>
    <t>Chan</t>
  </si>
  <si>
    <t>Chia Weng</t>
  </si>
  <si>
    <t>Teoh</t>
  </si>
  <si>
    <t>Sheryl</t>
  </si>
  <si>
    <t>Teo</t>
  </si>
  <si>
    <t>Ronald</t>
  </si>
  <si>
    <t>Joyi</t>
  </si>
  <si>
    <t>Mok</t>
  </si>
  <si>
    <t>Dave Sanjay</t>
  </si>
  <si>
    <t>Shah</t>
  </si>
  <si>
    <t>Samson</t>
  </si>
  <si>
    <t>Hong</t>
  </si>
  <si>
    <t>Izzat</t>
  </si>
  <si>
    <t>Nasser</t>
  </si>
  <si>
    <t>Keat Li</t>
  </si>
  <si>
    <t>Chuah</t>
  </si>
  <si>
    <t>Kamun</t>
  </si>
  <si>
    <t>Thoe</t>
  </si>
  <si>
    <t>Jacynta</t>
  </si>
  <si>
    <t>Weng Hou</t>
  </si>
  <si>
    <t>Poh Ling</t>
  </si>
  <si>
    <t>Yap</t>
  </si>
  <si>
    <t>Jhee Kuen</t>
  </si>
  <si>
    <t>Lam</t>
  </si>
  <si>
    <t>Priscilla</t>
  </si>
  <si>
    <t>Isaac</t>
  </si>
  <si>
    <t>Hew</t>
  </si>
  <si>
    <t>Tony</t>
  </si>
  <si>
    <t>Sokha</t>
  </si>
  <si>
    <t>Pheap</t>
  </si>
  <si>
    <t>Yong Fook</t>
  </si>
  <si>
    <t>Sau Moi</t>
  </si>
  <si>
    <t>Jack</t>
  </si>
  <si>
    <t>Sok Sen</t>
  </si>
  <si>
    <t>Hui Ling</t>
  </si>
  <si>
    <t>Vooi Hin</t>
  </si>
  <si>
    <t>Chang</t>
  </si>
  <si>
    <t>Hui Min</t>
  </si>
  <si>
    <t>Tim Wai</t>
  </si>
  <si>
    <t>Yong</t>
  </si>
  <si>
    <t>Hui Yee</t>
  </si>
  <si>
    <t>Tuck Chee</t>
  </si>
  <si>
    <t>Anny</t>
  </si>
  <si>
    <t>Pai San</t>
  </si>
  <si>
    <t>Karen</t>
  </si>
  <si>
    <t>Seng Yong</t>
  </si>
  <si>
    <t>Hui Jye</t>
  </si>
  <si>
    <t>Tiong Zin</t>
  </si>
  <si>
    <t>Loh</t>
  </si>
  <si>
    <t>Shirley</t>
  </si>
  <si>
    <t>Ching Yea</t>
  </si>
  <si>
    <t>Kah Heng</t>
  </si>
  <si>
    <t>Yuki</t>
  </si>
  <si>
    <t>Gan</t>
  </si>
  <si>
    <t>Kah Kee</t>
  </si>
  <si>
    <t>Ming Fei</t>
  </si>
  <si>
    <t>Ming Jun</t>
  </si>
  <si>
    <t>Colin</t>
  </si>
  <si>
    <t>Sarena</t>
  </si>
  <si>
    <t>Xin-Dee</t>
  </si>
  <si>
    <t>Low</t>
  </si>
  <si>
    <t>Yong Jian</t>
  </si>
  <si>
    <t>Onnelea</t>
  </si>
  <si>
    <t>Sandosam</t>
  </si>
  <si>
    <t>Reuben</t>
  </si>
  <si>
    <t>Zhe Hui</t>
  </si>
  <si>
    <t>Eunice</t>
  </si>
  <si>
    <t>Zheng Yang</t>
  </si>
  <si>
    <t>Au</t>
  </si>
  <si>
    <t>Yen Ting</t>
  </si>
  <si>
    <t>TL</t>
  </si>
  <si>
    <t>Samantha</t>
  </si>
  <si>
    <t>Chicken</t>
  </si>
  <si>
    <t>Beef</t>
  </si>
  <si>
    <t>Fish</t>
  </si>
  <si>
    <t>Vegetarian</t>
  </si>
  <si>
    <t>Meal</t>
  </si>
  <si>
    <t>Attendance</t>
  </si>
  <si>
    <t>Table Number</t>
  </si>
  <si>
    <t>Shu Li Sum</t>
  </si>
  <si>
    <t>Sum</t>
  </si>
  <si>
    <t>Rosalie Ong</t>
  </si>
  <si>
    <t>Dianne</t>
  </si>
  <si>
    <t>Dianne Mahendran</t>
  </si>
  <si>
    <t>Baby</t>
  </si>
  <si>
    <t>Groomsman</t>
  </si>
  <si>
    <t>Bridesmaid</t>
  </si>
  <si>
    <t>Table 1 (10 pax)</t>
  </si>
  <si>
    <t>Table 2 (10 pax)</t>
  </si>
  <si>
    <t>Table 3 (10 pax)</t>
  </si>
  <si>
    <t>Table 4 (30 pax)</t>
  </si>
  <si>
    <t>Table 5 (10 pax)</t>
  </si>
  <si>
    <t>Table 6 (20 pax)</t>
  </si>
  <si>
    <t>Table 7 (20 pax)</t>
  </si>
  <si>
    <t>Table 8 - 21 pax (20 adult, 1 baby)</t>
  </si>
  <si>
    <t>Table 9 (20 pax)</t>
  </si>
  <si>
    <t>VIP 8pax</t>
  </si>
  <si>
    <t>Tim Wai 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</si>
</sst>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6" fillId="0" borderId="0" xfId="0" applyFont="1" applyAlignment="1">
      <alignment wrapText="1"/>
    </xf>
    <xf numFmtId="0" fontId="0" fillId="35" borderId="0" xfId="0" applyFill="1"/>
    <xf numFmtId="0" fontId="19" fillId="33" borderId="0" xfId="0" applyFont="1" applyFill="1"/>
    <xf numFmtId="0" fontId="0" fillId="34" borderId="0" xfId="0" applyFill="1"/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0" xfId="0" applyFont="1"/>
    <xf numFmtId="0" fontId="0" fillId="37" borderId="11" xfId="0" applyFill="1" applyBorder="1" applyAlignment="1">
      <alignment horizontal="center" vertical="center" wrapText="1"/>
    </xf>
    <xf numFmtId="0" fontId="0" fillId="38" borderId="11" xfId="0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2" fillId="39" borderId="0" xfId="0" applyFont="1" applyFill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2" fillId="39" borderId="13" xfId="0" applyFont="1" applyFill="1" applyBorder="1" applyAlignment="1">
      <alignment horizontal="center" vertical="center" wrapText="1"/>
    </xf>
    <xf numFmtId="0" fontId="22" fillId="39" borderId="1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36" borderId="0" xfId="0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wrapText="1"/>
    </xf>
    <xf numFmtId="0" fontId="16" fillId="36" borderId="1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492F-DBD4-40A2-885D-05B1DAE03B9C}">
  <dimension ref="A1:E162"/>
  <sheetViews>
    <sheetView topLeftCell="A108" workbookViewId="0">
      <selection activeCell="A133" sqref="A133"/>
    </sheetView>
  </sheetViews>
  <sheetFormatPr defaultRowHeight="14.4" x14ac:dyDescent="0.3"/>
  <cols>
    <col min="1" max="1" width="12.88671875" bestFit="1" customWidth="1"/>
    <col min="2" max="2" width="12.5546875" bestFit="1" customWidth="1"/>
    <col min="3" max="3" width="13.109375" bestFit="1" customWidth="1"/>
    <col min="4" max="4" width="13.109375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386</v>
      </c>
    </row>
    <row r="2" spans="1:5" x14ac:dyDescent="0.3">
      <c r="A2" t="s">
        <v>2</v>
      </c>
      <c r="B2" t="s">
        <v>3</v>
      </c>
      <c r="E2" t="s">
        <v>382</v>
      </c>
    </row>
    <row r="3" spans="1:5" x14ac:dyDescent="0.3">
      <c r="A3" t="s">
        <v>14</v>
      </c>
      <c r="B3" t="s">
        <v>15</v>
      </c>
      <c r="E3" t="s">
        <v>383</v>
      </c>
    </row>
    <row r="4" spans="1:5" x14ac:dyDescent="0.3">
      <c r="A4" t="s">
        <v>26</v>
      </c>
      <c r="B4" t="s">
        <v>15</v>
      </c>
      <c r="E4" t="s">
        <v>384</v>
      </c>
    </row>
    <row r="5" spans="1:5" x14ac:dyDescent="0.3">
      <c r="A5" t="s">
        <v>36</v>
      </c>
      <c r="B5" t="s">
        <v>3</v>
      </c>
      <c r="E5" t="s">
        <v>384</v>
      </c>
    </row>
    <row r="6" spans="1:5" x14ac:dyDescent="0.3">
      <c r="A6" t="s">
        <v>47</v>
      </c>
      <c r="B6" t="s">
        <v>3</v>
      </c>
      <c r="E6" t="s">
        <v>384</v>
      </c>
    </row>
    <row r="7" spans="1:5" x14ac:dyDescent="0.3">
      <c r="A7" t="s">
        <v>58</v>
      </c>
      <c r="B7" t="s">
        <v>59</v>
      </c>
      <c r="E7" t="s">
        <v>383</v>
      </c>
    </row>
    <row r="8" spans="1:5" x14ac:dyDescent="0.3">
      <c r="A8" t="s">
        <v>70</v>
      </c>
      <c r="B8" t="s">
        <v>3</v>
      </c>
      <c r="E8" t="s">
        <v>382</v>
      </c>
    </row>
    <row r="9" spans="1:5" x14ac:dyDescent="0.3">
      <c r="A9" t="s">
        <v>82</v>
      </c>
      <c r="B9" t="s">
        <v>3</v>
      </c>
      <c r="E9" t="s">
        <v>382</v>
      </c>
    </row>
    <row r="10" spans="1:5" x14ac:dyDescent="0.3">
      <c r="A10" t="s">
        <v>94</v>
      </c>
      <c r="B10" t="s">
        <v>3</v>
      </c>
      <c r="E10" t="s">
        <v>383</v>
      </c>
    </row>
    <row r="11" spans="1:5" x14ac:dyDescent="0.3">
      <c r="A11" t="s">
        <v>104</v>
      </c>
      <c r="B11" t="s">
        <v>59</v>
      </c>
      <c r="E11" t="s">
        <v>383</v>
      </c>
    </row>
    <row r="12" spans="1:5" x14ac:dyDescent="0.3">
      <c r="A12" t="s">
        <v>113</v>
      </c>
      <c r="B12" t="s">
        <v>114</v>
      </c>
      <c r="E12" t="s">
        <v>384</v>
      </c>
    </row>
    <row r="13" spans="1:5" x14ac:dyDescent="0.3">
      <c r="A13" t="s">
        <v>119</v>
      </c>
      <c r="B13" t="s">
        <v>59</v>
      </c>
      <c r="E13" t="s">
        <v>383</v>
      </c>
    </row>
    <row r="14" spans="1:5" x14ac:dyDescent="0.3">
      <c r="A14" t="s">
        <v>123</v>
      </c>
      <c r="B14" t="s">
        <v>124</v>
      </c>
      <c r="E14" t="s">
        <v>384</v>
      </c>
    </row>
    <row r="15" spans="1:5" x14ac:dyDescent="0.3">
      <c r="A15" t="s">
        <v>129</v>
      </c>
      <c r="B15" t="s">
        <v>59</v>
      </c>
      <c r="E15" t="s">
        <v>384</v>
      </c>
    </row>
    <row r="16" spans="1:5" x14ac:dyDescent="0.3">
      <c r="A16" t="s">
        <v>135</v>
      </c>
      <c r="B16" t="s">
        <v>136</v>
      </c>
      <c r="E16" t="s">
        <v>383</v>
      </c>
    </row>
    <row r="17" spans="1:5" x14ac:dyDescent="0.3">
      <c r="A17" t="s">
        <v>142</v>
      </c>
      <c r="B17" t="s">
        <v>59</v>
      </c>
      <c r="E17" t="s">
        <v>384</v>
      </c>
    </row>
    <row r="18" spans="1:5" x14ac:dyDescent="0.3">
      <c r="A18" t="s">
        <v>148</v>
      </c>
      <c r="B18" t="s">
        <v>59</v>
      </c>
      <c r="E18" t="s">
        <v>383</v>
      </c>
    </row>
    <row r="19" spans="1:5" x14ac:dyDescent="0.3">
      <c r="A19" t="s">
        <v>154</v>
      </c>
      <c r="B19" t="s">
        <v>59</v>
      </c>
      <c r="E19" t="s">
        <v>383</v>
      </c>
    </row>
    <row r="20" spans="1:5" x14ac:dyDescent="0.3">
      <c r="A20" t="s">
        <v>159</v>
      </c>
      <c r="B20" t="s">
        <v>160</v>
      </c>
      <c r="E20" t="s">
        <v>382</v>
      </c>
    </row>
    <row r="21" spans="1:5" x14ac:dyDescent="0.3">
      <c r="A21" t="s">
        <v>166</v>
      </c>
      <c r="B21" t="s">
        <v>59</v>
      </c>
      <c r="E21" t="s">
        <v>383</v>
      </c>
    </row>
    <row r="22" spans="1:5" x14ac:dyDescent="0.3">
      <c r="A22" t="s">
        <v>172</v>
      </c>
      <c r="B22" t="s">
        <v>173</v>
      </c>
      <c r="E22" t="s">
        <v>384</v>
      </c>
    </row>
    <row r="23" spans="1:5" x14ac:dyDescent="0.3">
      <c r="A23" t="s">
        <v>177</v>
      </c>
      <c r="B23" t="s">
        <v>59</v>
      </c>
      <c r="E23" t="s">
        <v>383</v>
      </c>
    </row>
    <row r="24" spans="1:5" x14ac:dyDescent="0.3">
      <c r="A24" t="s">
        <v>180</v>
      </c>
      <c r="B24" t="s">
        <v>59</v>
      </c>
      <c r="E24" t="s">
        <v>383</v>
      </c>
    </row>
    <row r="25" spans="1:5" x14ac:dyDescent="0.3">
      <c r="A25" t="s">
        <v>183</v>
      </c>
      <c r="B25" t="s">
        <v>59</v>
      </c>
      <c r="E25" t="s">
        <v>383</v>
      </c>
    </row>
    <row r="26" spans="1:5" x14ac:dyDescent="0.3">
      <c r="A26" t="s">
        <v>185</v>
      </c>
      <c r="B26" t="s">
        <v>186</v>
      </c>
      <c r="E26" t="s">
        <v>383</v>
      </c>
    </row>
    <row r="27" spans="1:5" x14ac:dyDescent="0.3">
      <c r="A27" t="s">
        <v>188</v>
      </c>
      <c r="B27" t="s">
        <v>186</v>
      </c>
      <c r="E27" t="s">
        <v>383</v>
      </c>
    </row>
    <row r="28" spans="1:5" x14ac:dyDescent="0.3">
      <c r="A28" t="s">
        <v>189</v>
      </c>
      <c r="B28" t="s">
        <v>3</v>
      </c>
      <c r="E28" t="s">
        <v>382</v>
      </c>
    </row>
    <row r="29" spans="1:5" x14ac:dyDescent="0.3">
      <c r="A29" t="s">
        <v>191</v>
      </c>
      <c r="B29" t="s">
        <v>3</v>
      </c>
      <c r="E29" t="s">
        <v>383</v>
      </c>
    </row>
    <row r="30" spans="1:5" x14ac:dyDescent="0.3">
      <c r="A30" t="s">
        <v>193</v>
      </c>
      <c r="B30" t="s">
        <v>3</v>
      </c>
      <c r="E30" t="s">
        <v>382</v>
      </c>
    </row>
    <row r="31" spans="1:5" x14ac:dyDescent="0.3">
      <c r="A31" t="s">
        <v>195</v>
      </c>
      <c r="B31" t="s">
        <v>3</v>
      </c>
      <c r="E31" t="s">
        <v>383</v>
      </c>
    </row>
    <row r="32" spans="1:5" x14ac:dyDescent="0.3">
      <c r="A32" t="s">
        <v>197</v>
      </c>
      <c r="B32" t="s">
        <v>198</v>
      </c>
      <c r="E32" t="s">
        <v>384</v>
      </c>
    </row>
    <row r="33" spans="1:5" x14ac:dyDescent="0.3">
      <c r="A33" t="s">
        <v>200</v>
      </c>
      <c r="B33" t="s">
        <v>201</v>
      </c>
      <c r="E33" t="s">
        <v>383</v>
      </c>
    </row>
    <row r="34" spans="1:5" x14ac:dyDescent="0.3">
      <c r="A34" t="s">
        <v>392</v>
      </c>
      <c r="B34" t="s">
        <v>201</v>
      </c>
      <c r="E34" t="s">
        <v>384</v>
      </c>
    </row>
    <row r="35" spans="1:5" x14ac:dyDescent="0.3">
      <c r="A35" t="s">
        <v>203</v>
      </c>
      <c r="B35" t="s">
        <v>59</v>
      </c>
      <c r="E35" t="s">
        <v>385</v>
      </c>
    </row>
    <row r="36" spans="1:5" x14ac:dyDescent="0.3">
      <c r="A36" t="s">
        <v>204</v>
      </c>
      <c r="B36" t="s">
        <v>205</v>
      </c>
      <c r="E36" t="s">
        <v>382</v>
      </c>
    </row>
    <row r="37" spans="1:5" x14ac:dyDescent="0.3">
      <c r="A37" t="s">
        <v>206</v>
      </c>
      <c r="B37" t="s">
        <v>205</v>
      </c>
      <c r="E37" t="s">
        <v>382</v>
      </c>
    </row>
    <row r="38" spans="1:5" x14ac:dyDescent="0.3">
      <c r="A38" t="s">
        <v>207</v>
      </c>
      <c r="B38" t="s">
        <v>186</v>
      </c>
      <c r="E38" t="s">
        <v>384</v>
      </c>
    </row>
    <row r="39" spans="1:5" x14ac:dyDescent="0.3">
      <c r="A39" t="s">
        <v>208</v>
      </c>
      <c r="B39" t="s">
        <v>209</v>
      </c>
      <c r="E39" t="s">
        <v>383</v>
      </c>
    </row>
    <row r="40" spans="1:5" x14ac:dyDescent="0.3">
      <c r="A40" t="s">
        <v>8</v>
      </c>
      <c r="B40" t="s">
        <v>390</v>
      </c>
      <c r="E40" t="s">
        <v>383</v>
      </c>
    </row>
    <row r="41" spans="1:5" x14ac:dyDescent="0.3">
      <c r="A41" t="s">
        <v>210</v>
      </c>
      <c r="B41" t="s">
        <v>211</v>
      </c>
      <c r="E41" t="s">
        <v>382</v>
      </c>
    </row>
    <row r="42" spans="1:5" x14ac:dyDescent="0.3">
      <c r="A42" t="s">
        <v>212</v>
      </c>
      <c r="B42" t="s">
        <v>213</v>
      </c>
      <c r="E42" t="s">
        <v>383</v>
      </c>
    </row>
    <row r="43" spans="1:5" x14ac:dyDescent="0.3">
      <c r="A43" t="s">
        <v>214</v>
      </c>
      <c r="B43" t="s">
        <v>215</v>
      </c>
      <c r="E43" t="s">
        <v>383</v>
      </c>
    </row>
    <row r="44" spans="1:5" x14ac:dyDescent="0.3">
      <c r="A44" t="s">
        <v>216</v>
      </c>
      <c r="B44" t="s">
        <v>217</v>
      </c>
      <c r="E44" t="s">
        <v>382</v>
      </c>
    </row>
    <row r="45" spans="1:5" x14ac:dyDescent="0.3">
      <c r="A45" t="s">
        <v>218</v>
      </c>
      <c r="B45" t="s">
        <v>219</v>
      </c>
      <c r="E45" t="s">
        <v>382</v>
      </c>
    </row>
    <row r="46" spans="1:5" x14ac:dyDescent="0.3">
      <c r="A46" t="s">
        <v>220</v>
      </c>
      <c r="B46" t="s">
        <v>221</v>
      </c>
      <c r="E46" t="s">
        <v>384</v>
      </c>
    </row>
    <row r="47" spans="1:5" x14ac:dyDescent="0.3">
      <c r="A47" t="s">
        <v>222</v>
      </c>
      <c r="B47" t="s">
        <v>223</v>
      </c>
      <c r="E47" t="s">
        <v>384</v>
      </c>
    </row>
    <row r="48" spans="1:5" x14ac:dyDescent="0.3">
      <c r="A48" t="s">
        <v>224</v>
      </c>
      <c r="B48" t="s">
        <v>225</v>
      </c>
      <c r="E48" t="s">
        <v>384</v>
      </c>
    </row>
    <row r="49" spans="1:5" x14ac:dyDescent="0.3">
      <c r="A49" t="s">
        <v>226</v>
      </c>
      <c r="B49" t="s">
        <v>225</v>
      </c>
      <c r="E49" t="s">
        <v>384</v>
      </c>
    </row>
    <row r="50" spans="1:5" x14ac:dyDescent="0.3">
      <c r="A50" t="s">
        <v>227</v>
      </c>
      <c r="B50" t="s">
        <v>228</v>
      </c>
      <c r="E50" t="s">
        <v>383</v>
      </c>
    </row>
    <row r="51" spans="1:5" x14ac:dyDescent="0.3">
      <c r="A51" t="s">
        <v>229</v>
      </c>
      <c r="B51" t="s">
        <v>213</v>
      </c>
      <c r="E51" t="s">
        <v>382</v>
      </c>
    </row>
    <row r="52" spans="1:5" x14ac:dyDescent="0.3">
      <c r="A52" t="s">
        <v>230</v>
      </c>
      <c r="B52" t="s">
        <v>231</v>
      </c>
      <c r="E52" t="s">
        <v>382</v>
      </c>
    </row>
    <row r="53" spans="1:5" x14ac:dyDescent="0.3">
      <c r="A53" t="s">
        <v>232</v>
      </c>
      <c r="B53" t="s">
        <v>233</v>
      </c>
      <c r="E53" t="s">
        <v>383</v>
      </c>
    </row>
    <row r="54" spans="1:5" x14ac:dyDescent="0.3">
      <c r="A54" t="s">
        <v>234</v>
      </c>
      <c r="B54" t="s">
        <v>215</v>
      </c>
      <c r="E54" t="s">
        <v>383</v>
      </c>
    </row>
    <row r="55" spans="1:5" x14ac:dyDescent="0.3">
      <c r="A55" t="s">
        <v>235</v>
      </c>
      <c r="B55" t="s">
        <v>59</v>
      </c>
      <c r="E55" t="s">
        <v>383</v>
      </c>
    </row>
    <row r="56" spans="1:5" x14ac:dyDescent="0.3">
      <c r="A56" t="s">
        <v>236</v>
      </c>
      <c r="B56" t="s">
        <v>237</v>
      </c>
      <c r="E56" t="s">
        <v>384</v>
      </c>
    </row>
    <row r="57" spans="1:5" x14ac:dyDescent="0.3">
      <c r="A57" t="s">
        <v>36</v>
      </c>
      <c r="B57" t="s">
        <v>238</v>
      </c>
      <c r="E57" t="s">
        <v>384</v>
      </c>
    </row>
    <row r="58" spans="1:5" x14ac:dyDescent="0.3">
      <c r="A58" t="s">
        <v>239</v>
      </c>
      <c r="B58" t="s">
        <v>240</v>
      </c>
      <c r="E58" t="s">
        <v>382</v>
      </c>
    </row>
    <row r="59" spans="1:5" x14ac:dyDescent="0.3">
      <c r="A59" t="s">
        <v>241</v>
      </c>
      <c r="B59" t="s">
        <v>242</v>
      </c>
      <c r="E59" t="s">
        <v>384</v>
      </c>
    </row>
    <row r="60" spans="1:5" x14ac:dyDescent="0.3">
      <c r="A60" t="s">
        <v>191</v>
      </c>
      <c r="B60" t="s">
        <v>243</v>
      </c>
      <c r="E60" t="s">
        <v>383</v>
      </c>
    </row>
    <row r="61" spans="1:5" x14ac:dyDescent="0.3">
      <c r="A61" t="s">
        <v>244</v>
      </c>
      <c r="B61" t="s">
        <v>231</v>
      </c>
      <c r="E61" t="s">
        <v>383</v>
      </c>
    </row>
    <row r="62" spans="1:5" x14ac:dyDescent="0.3">
      <c r="A62" t="s">
        <v>245</v>
      </c>
      <c r="B62" t="s">
        <v>246</v>
      </c>
      <c r="E62" t="s">
        <v>384</v>
      </c>
    </row>
    <row r="63" spans="1:5" x14ac:dyDescent="0.3">
      <c r="A63" t="s">
        <v>247</v>
      </c>
      <c r="B63" t="s">
        <v>248</v>
      </c>
      <c r="E63" t="s">
        <v>382</v>
      </c>
    </row>
    <row r="64" spans="1:5" x14ac:dyDescent="0.3">
      <c r="A64" t="s">
        <v>249</v>
      </c>
      <c r="B64" t="s">
        <v>250</v>
      </c>
      <c r="E64" t="s">
        <v>382</v>
      </c>
    </row>
    <row r="65" spans="1:5" x14ac:dyDescent="0.3">
      <c r="A65" t="s">
        <v>251</v>
      </c>
      <c r="B65" t="s">
        <v>252</v>
      </c>
      <c r="E65" t="s">
        <v>383</v>
      </c>
    </row>
    <row r="66" spans="1:5" x14ac:dyDescent="0.3">
      <c r="A66" t="s">
        <v>253</v>
      </c>
      <c r="B66" t="s">
        <v>254</v>
      </c>
      <c r="E66" t="s">
        <v>382</v>
      </c>
    </row>
    <row r="67" spans="1:5" x14ac:dyDescent="0.3">
      <c r="A67" t="s">
        <v>255</v>
      </c>
      <c r="B67" t="s">
        <v>59</v>
      </c>
      <c r="E67" t="s">
        <v>384</v>
      </c>
    </row>
    <row r="68" spans="1:5" x14ac:dyDescent="0.3">
      <c r="A68" t="s">
        <v>256</v>
      </c>
      <c r="B68" t="s">
        <v>257</v>
      </c>
      <c r="E68" t="s">
        <v>383</v>
      </c>
    </row>
    <row r="69" spans="1:5" x14ac:dyDescent="0.3">
      <c r="A69" t="s">
        <v>200</v>
      </c>
      <c r="B69" t="s">
        <v>257</v>
      </c>
      <c r="E69" t="s">
        <v>382</v>
      </c>
    </row>
    <row r="70" spans="1:5" x14ac:dyDescent="0.3">
      <c r="A70" t="s">
        <v>258</v>
      </c>
      <c r="B70" t="s">
        <v>259</v>
      </c>
      <c r="E70" t="s">
        <v>382</v>
      </c>
    </row>
    <row r="71" spans="1:5" x14ac:dyDescent="0.3">
      <c r="A71" t="s">
        <v>260</v>
      </c>
      <c r="B71" t="s">
        <v>261</v>
      </c>
      <c r="E71" t="s">
        <v>382</v>
      </c>
    </row>
    <row r="72" spans="1:5" x14ac:dyDescent="0.3">
      <c r="A72" t="s">
        <v>262</v>
      </c>
      <c r="B72" t="s">
        <v>242</v>
      </c>
      <c r="E72" t="s">
        <v>383</v>
      </c>
    </row>
    <row r="73" spans="1:5" x14ac:dyDescent="0.3">
      <c r="A73" t="s">
        <v>263</v>
      </c>
      <c r="B73" t="s">
        <v>59</v>
      </c>
      <c r="E73" t="s">
        <v>384</v>
      </c>
    </row>
    <row r="74" spans="1:5" x14ac:dyDescent="0.3">
      <c r="A74" t="s">
        <v>264</v>
      </c>
      <c r="B74" t="s">
        <v>242</v>
      </c>
      <c r="E74" t="s">
        <v>382</v>
      </c>
    </row>
    <row r="75" spans="1:5" x14ac:dyDescent="0.3">
      <c r="A75" t="s">
        <v>265</v>
      </c>
      <c r="B75" t="s">
        <v>266</v>
      </c>
      <c r="E75" t="s">
        <v>382</v>
      </c>
    </row>
    <row r="76" spans="1:5" x14ac:dyDescent="0.3">
      <c r="A76" t="s">
        <v>267</v>
      </c>
      <c r="B76" t="s">
        <v>242</v>
      </c>
      <c r="E76" t="s">
        <v>384</v>
      </c>
    </row>
    <row r="77" spans="1:5" x14ac:dyDescent="0.3">
      <c r="A77" t="s">
        <v>268</v>
      </c>
      <c r="B77" t="s">
        <v>269</v>
      </c>
      <c r="E77" t="s">
        <v>383</v>
      </c>
    </row>
    <row r="78" spans="1:5" x14ac:dyDescent="0.3">
      <c r="A78" t="s">
        <v>270</v>
      </c>
      <c r="B78" t="s">
        <v>266</v>
      </c>
      <c r="E78" t="s">
        <v>384</v>
      </c>
    </row>
    <row r="79" spans="1:5" x14ac:dyDescent="0.3">
      <c r="A79" t="s">
        <v>271</v>
      </c>
      <c r="B79" t="s">
        <v>272</v>
      </c>
      <c r="E79" t="s">
        <v>382</v>
      </c>
    </row>
    <row r="80" spans="1:5" x14ac:dyDescent="0.3">
      <c r="A80" t="s">
        <v>273</v>
      </c>
      <c r="B80" t="s">
        <v>274</v>
      </c>
      <c r="E80" t="s">
        <v>384</v>
      </c>
    </row>
    <row r="81" spans="1:5" x14ac:dyDescent="0.3">
      <c r="A81" t="s">
        <v>275</v>
      </c>
      <c r="B81" t="s">
        <v>266</v>
      </c>
      <c r="E81" t="s">
        <v>383</v>
      </c>
    </row>
    <row r="82" spans="1:5" x14ac:dyDescent="0.3">
      <c r="A82" t="s">
        <v>276</v>
      </c>
      <c r="B82" t="s">
        <v>277</v>
      </c>
      <c r="E82" t="s">
        <v>383</v>
      </c>
    </row>
    <row r="83" spans="1:5" x14ac:dyDescent="0.3">
      <c r="A83" t="s">
        <v>278</v>
      </c>
      <c r="B83" t="s">
        <v>59</v>
      </c>
      <c r="E83" t="s">
        <v>383</v>
      </c>
    </row>
    <row r="84" spans="1:5" x14ac:dyDescent="0.3">
      <c r="A84" t="s">
        <v>208</v>
      </c>
      <c r="B84" t="s">
        <v>279</v>
      </c>
      <c r="E84" t="s">
        <v>383</v>
      </c>
    </row>
    <row r="85" spans="1:5" x14ac:dyDescent="0.3">
      <c r="A85" t="s">
        <v>280</v>
      </c>
      <c r="B85" t="s">
        <v>242</v>
      </c>
      <c r="E85" t="s">
        <v>383</v>
      </c>
    </row>
    <row r="86" spans="1:5" x14ac:dyDescent="0.3">
      <c r="A86" t="s">
        <v>281</v>
      </c>
      <c r="B86" t="s">
        <v>282</v>
      </c>
      <c r="E86" t="s">
        <v>383</v>
      </c>
    </row>
    <row r="87" spans="1:5" x14ac:dyDescent="0.3">
      <c r="A87" t="s">
        <v>283</v>
      </c>
      <c r="B87" t="s">
        <v>284</v>
      </c>
      <c r="E87" t="s">
        <v>383</v>
      </c>
    </row>
    <row r="88" spans="1:5" x14ac:dyDescent="0.3">
      <c r="A88" t="s">
        <v>285</v>
      </c>
      <c r="B88" t="s">
        <v>238</v>
      </c>
      <c r="E88" t="s">
        <v>382</v>
      </c>
    </row>
    <row r="89" spans="1:5" x14ac:dyDescent="0.3">
      <c r="A89" t="s">
        <v>286</v>
      </c>
      <c r="B89" t="s">
        <v>287</v>
      </c>
      <c r="E89" t="s">
        <v>383</v>
      </c>
    </row>
    <row r="90" spans="1:5" x14ac:dyDescent="0.3">
      <c r="A90" t="s">
        <v>288</v>
      </c>
      <c r="B90" t="s">
        <v>289</v>
      </c>
      <c r="E90" t="s">
        <v>383</v>
      </c>
    </row>
    <row r="91" spans="1:5" x14ac:dyDescent="0.3">
      <c r="A91" t="s">
        <v>290</v>
      </c>
      <c r="B91" t="s">
        <v>291</v>
      </c>
      <c r="E91" t="s">
        <v>385</v>
      </c>
    </row>
    <row r="92" spans="1:5" x14ac:dyDescent="0.3">
      <c r="A92" t="s">
        <v>280</v>
      </c>
      <c r="B92" t="s">
        <v>292</v>
      </c>
      <c r="E92" t="s">
        <v>382</v>
      </c>
    </row>
    <row r="93" spans="1:5" x14ac:dyDescent="0.3">
      <c r="A93" t="s">
        <v>293</v>
      </c>
      <c r="B93" t="s">
        <v>59</v>
      </c>
      <c r="E93" t="s">
        <v>384</v>
      </c>
    </row>
    <row r="94" spans="1:5" x14ac:dyDescent="0.3">
      <c r="A94" t="s">
        <v>294</v>
      </c>
      <c r="B94" t="s">
        <v>282</v>
      </c>
      <c r="E94" t="s">
        <v>383</v>
      </c>
    </row>
    <row r="95" spans="1:5" x14ac:dyDescent="0.3">
      <c r="A95" t="s">
        <v>295</v>
      </c>
      <c r="B95" t="s">
        <v>136</v>
      </c>
      <c r="E95" t="s">
        <v>384</v>
      </c>
    </row>
    <row r="96" spans="1:5" x14ac:dyDescent="0.3">
      <c r="A96" t="s">
        <v>296</v>
      </c>
      <c r="B96" t="s">
        <v>297</v>
      </c>
      <c r="E96" t="s">
        <v>382</v>
      </c>
    </row>
    <row r="97" spans="1:5" x14ac:dyDescent="0.3">
      <c r="A97" t="s">
        <v>298</v>
      </c>
      <c r="B97" t="s">
        <v>3</v>
      </c>
      <c r="E97" t="s">
        <v>383</v>
      </c>
    </row>
    <row r="98" spans="1:5" x14ac:dyDescent="0.3">
      <c r="A98" t="s">
        <v>299</v>
      </c>
      <c r="B98" t="s">
        <v>242</v>
      </c>
      <c r="E98" t="s">
        <v>383</v>
      </c>
    </row>
    <row r="99" spans="1:5" x14ac:dyDescent="0.3">
      <c r="A99" t="s">
        <v>300</v>
      </c>
      <c r="B99" t="s">
        <v>242</v>
      </c>
      <c r="E99" t="s">
        <v>382</v>
      </c>
    </row>
    <row r="100" spans="1:5" x14ac:dyDescent="0.3">
      <c r="A100" t="s">
        <v>301</v>
      </c>
      <c r="B100" t="s">
        <v>266</v>
      </c>
      <c r="E100" t="s">
        <v>384</v>
      </c>
    </row>
    <row r="101" spans="1:5" x14ac:dyDescent="0.3">
      <c r="A101" t="s">
        <v>302</v>
      </c>
      <c r="B101" t="s">
        <v>242</v>
      </c>
      <c r="E101" t="s">
        <v>382</v>
      </c>
    </row>
    <row r="102" spans="1:5" x14ac:dyDescent="0.3">
      <c r="A102" t="s">
        <v>303</v>
      </c>
      <c r="B102" t="s">
        <v>242</v>
      </c>
      <c r="E102" t="s">
        <v>384</v>
      </c>
    </row>
    <row r="103" spans="1:5" x14ac:dyDescent="0.3">
      <c r="A103" t="s">
        <v>304</v>
      </c>
      <c r="B103" t="s">
        <v>3</v>
      </c>
      <c r="E103" t="s">
        <v>382</v>
      </c>
    </row>
    <row r="104" spans="1:5" x14ac:dyDescent="0.3">
      <c r="A104" t="s">
        <v>305</v>
      </c>
      <c r="B104" t="s">
        <v>306</v>
      </c>
      <c r="E104" t="s">
        <v>384</v>
      </c>
    </row>
    <row r="105" spans="1:5" x14ac:dyDescent="0.3">
      <c r="A105" t="s">
        <v>307</v>
      </c>
      <c r="B105" t="s">
        <v>242</v>
      </c>
      <c r="E105" t="s">
        <v>383</v>
      </c>
    </row>
    <row r="106" spans="1:5" x14ac:dyDescent="0.3">
      <c r="A106" t="s">
        <v>308</v>
      </c>
      <c r="B106" t="s">
        <v>279</v>
      </c>
      <c r="E106" t="s">
        <v>384</v>
      </c>
    </row>
    <row r="107" spans="1:5" x14ac:dyDescent="0.3">
      <c r="A107" t="s">
        <v>309</v>
      </c>
      <c r="B107" t="s">
        <v>310</v>
      </c>
      <c r="E107" t="s">
        <v>383</v>
      </c>
    </row>
    <row r="108" spans="1:5" x14ac:dyDescent="0.3">
      <c r="A108" t="s">
        <v>244</v>
      </c>
      <c r="B108" t="s">
        <v>59</v>
      </c>
      <c r="E108" t="s">
        <v>383</v>
      </c>
    </row>
    <row r="109" spans="1:5" x14ac:dyDescent="0.3">
      <c r="A109" t="s">
        <v>311</v>
      </c>
      <c r="B109" t="s">
        <v>312</v>
      </c>
      <c r="E109" t="s">
        <v>384</v>
      </c>
    </row>
    <row r="110" spans="1:5" x14ac:dyDescent="0.3">
      <c r="A110" t="s">
        <v>313</v>
      </c>
      <c r="B110" t="s">
        <v>314</v>
      </c>
      <c r="E110" t="s">
        <v>383</v>
      </c>
    </row>
    <row r="111" spans="1:5" x14ac:dyDescent="0.3">
      <c r="A111" t="s">
        <v>315</v>
      </c>
      <c r="B111" t="s">
        <v>312</v>
      </c>
      <c r="E111" t="s">
        <v>383</v>
      </c>
    </row>
    <row r="112" spans="1:5" x14ac:dyDescent="0.3">
      <c r="A112" t="s">
        <v>316</v>
      </c>
      <c r="B112" t="s">
        <v>317</v>
      </c>
      <c r="E112" t="s">
        <v>384</v>
      </c>
    </row>
    <row r="113" spans="1:5" x14ac:dyDescent="0.3">
      <c r="A113" t="s">
        <v>318</v>
      </c>
      <c r="B113" t="s">
        <v>319</v>
      </c>
      <c r="E113" t="s">
        <v>383</v>
      </c>
    </row>
    <row r="114" spans="1:5" x14ac:dyDescent="0.3">
      <c r="A114" t="s">
        <v>320</v>
      </c>
      <c r="B114" t="s">
        <v>321</v>
      </c>
      <c r="E114" t="s">
        <v>383</v>
      </c>
    </row>
    <row r="115" spans="1:5" x14ac:dyDescent="0.3">
      <c r="A115" t="s">
        <v>322</v>
      </c>
      <c r="B115" t="s">
        <v>323</v>
      </c>
      <c r="E115" t="s">
        <v>383</v>
      </c>
    </row>
    <row r="116" spans="1:5" x14ac:dyDescent="0.3">
      <c r="A116" t="s">
        <v>324</v>
      </c>
      <c r="B116" t="s">
        <v>325</v>
      </c>
      <c r="E116" t="s">
        <v>383</v>
      </c>
    </row>
    <row r="117" spans="1:5" x14ac:dyDescent="0.3">
      <c r="A117" t="s">
        <v>326</v>
      </c>
      <c r="B117" t="s">
        <v>327</v>
      </c>
      <c r="E117" t="s">
        <v>384</v>
      </c>
    </row>
    <row r="118" spans="1:5" x14ac:dyDescent="0.3">
      <c r="A118" t="s">
        <v>328</v>
      </c>
      <c r="B118" t="s">
        <v>310</v>
      </c>
      <c r="E118" t="s">
        <v>383</v>
      </c>
    </row>
    <row r="119" spans="1:5" x14ac:dyDescent="0.3">
      <c r="A119" t="s">
        <v>329</v>
      </c>
      <c r="B119" t="s">
        <v>243</v>
      </c>
      <c r="E119" t="s">
        <v>382</v>
      </c>
    </row>
    <row r="120" spans="1:5" x14ac:dyDescent="0.3">
      <c r="A120" t="s">
        <v>330</v>
      </c>
      <c r="B120" t="s">
        <v>331</v>
      </c>
      <c r="E120" t="s">
        <v>383</v>
      </c>
    </row>
    <row r="121" spans="1:5" x14ac:dyDescent="0.3">
      <c r="A121" t="s">
        <v>332</v>
      </c>
      <c r="B121" t="s">
        <v>333</v>
      </c>
      <c r="E121" t="s">
        <v>384</v>
      </c>
    </row>
    <row r="122" spans="1:5" x14ac:dyDescent="0.3">
      <c r="A122" t="s">
        <v>334</v>
      </c>
      <c r="B122" t="s">
        <v>59</v>
      </c>
      <c r="E122" t="s">
        <v>383</v>
      </c>
    </row>
    <row r="123" spans="1:5" x14ac:dyDescent="0.3">
      <c r="A123" t="s">
        <v>335</v>
      </c>
      <c r="B123" t="s">
        <v>336</v>
      </c>
      <c r="E123" t="s">
        <v>382</v>
      </c>
    </row>
    <row r="124" spans="1:5" x14ac:dyDescent="0.3">
      <c r="A124" t="s">
        <v>337</v>
      </c>
      <c r="B124" t="s">
        <v>211</v>
      </c>
      <c r="E124" t="s">
        <v>384</v>
      </c>
    </row>
    <row r="125" spans="1:5" x14ac:dyDescent="0.3">
      <c r="A125" t="s">
        <v>338</v>
      </c>
      <c r="B125" t="s">
        <v>339</v>
      </c>
      <c r="E125" t="s">
        <v>383</v>
      </c>
    </row>
    <row r="126" spans="1:5" x14ac:dyDescent="0.3">
      <c r="A126" t="s">
        <v>340</v>
      </c>
      <c r="B126" t="s">
        <v>59</v>
      </c>
      <c r="E126" t="s">
        <v>384</v>
      </c>
    </row>
    <row r="127" spans="1:5" x14ac:dyDescent="0.3">
      <c r="A127" t="s">
        <v>341</v>
      </c>
      <c r="B127" t="s">
        <v>124</v>
      </c>
      <c r="E127" t="s">
        <v>382</v>
      </c>
    </row>
    <row r="128" spans="1:5" x14ac:dyDescent="0.3">
      <c r="A128" t="s">
        <v>342</v>
      </c>
      <c r="B128" t="s">
        <v>59</v>
      </c>
      <c r="E128" t="s">
        <v>382</v>
      </c>
    </row>
    <row r="129" spans="1:5" x14ac:dyDescent="0.3">
      <c r="A129" t="s">
        <v>343</v>
      </c>
      <c r="B129" t="s">
        <v>282</v>
      </c>
      <c r="E129" t="s">
        <v>384</v>
      </c>
    </row>
    <row r="130" spans="1:5" x14ac:dyDescent="0.3">
      <c r="A130" t="s">
        <v>344</v>
      </c>
      <c r="B130" t="s">
        <v>59</v>
      </c>
      <c r="E130" t="s">
        <v>382</v>
      </c>
    </row>
    <row r="131" spans="1:5" x14ac:dyDescent="0.3">
      <c r="A131" t="s">
        <v>345</v>
      </c>
      <c r="B131" t="s">
        <v>346</v>
      </c>
      <c r="E131" t="s">
        <v>384</v>
      </c>
    </row>
    <row r="132" spans="1:5" x14ac:dyDescent="0.3">
      <c r="A132" t="s">
        <v>347</v>
      </c>
      <c r="B132" t="s">
        <v>59</v>
      </c>
      <c r="E132" t="s">
        <v>384</v>
      </c>
    </row>
    <row r="133" spans="1:5" x14ac:dyDescent="0.3">
      <c r="A133" t="s">
        <v>348</v>
      </c>
      <c r="B133" t="s">
        <v>349</v>
      </c>
      <c r="E133" t="s">
        <v>382</v>
      </c>
    </row>
    <row r="134" spans="1:5" x14ac:dyDescent="0.3">
      <c r="A134" t="s">
        <v>350</v>
      </c>
      <c r="B134" t="s">
        <v>59</v>
      </c>
      <c r="E134" t="s">
        <v>384</v>
      </c>
    </row>
    <row r="135" spans="1:5" x14ac:dyDescent="0.3">
      <c r="A135" t="s">
        <v>351</v>
      </c>
      <c r="B135" t="s">
        <v>124</v>
      </c>
      <c r="E135" t="s">
        <v>382</v>
      </c>
    </row>
    <row r="136" spans="1:5" x14ac:dyDescent="0.3">
      <c r="A136" t="s">
        <v>352</v>
      </c>
      <c r="B136" t="s">
        <v>59</v>
      </c>
      <c r="E136" t="s">
        <v>382</v>
      </c>
    </row>
    <row r="137" spans="1:5" x14ac:dyDescent="0.3">
      <c r="A137" t="s">
        <v>353</v>
      </c>
      <c r="B137" t="s">
        <v>333</v>
      </c>
      <c r="E137" t="s">
        <v>383</v>
      </c>
    </row>
    <row r="138" spans="1:5" x14ac:dyDescent="0.3">
      <c r="A138" t="s">
        <v>354</v>
      </c>
      <c r="B138" t="s">
        <v>59</v>
      </c>
      <c r="E138" t="s">
        <v>384</v>
      </c>
    </row>
    <row r="139" spans="1:5" x14ac:dyDescent="0.3">
      <c r="A139" t="s">
        <v>355</v>
      </c>
      <c r="B139" t="s">
        <v>124</v>
      </c>
      <c r="E139" t="s">
        <v>383</v>
      </c>
    </row>
    <row r="140" spans="1:5" x14ac:dyDescent="0.3">
      <c r="A140" t="s">
        <v>356</v>
      </c>
      <c r="B140" t="s">
        <v>59</v>
      </c>
      <c r="E140" t="s">
        <v>382</v>
      </c>
    </row>
    <row r="141" spans="1:5" x14ac:dyDescent="0.3">
      <c r="A141" t="s">
        <v>357</v>
      </c>
      <c r="B141" t="s">
        <v>358</v>
      </c>
      <c r="E141" t="s">
        <v>384</v>
      </c>
    </row>
    <row r="142" spans="1:5" x14ac:dyDescent="0.3">
      <c r="A142" t="s">
        <v>359</v>
      </c>
      <c r="B142" t="s">
        <v>59</v>
      </c>
      <c r="E142" t="s">
        <v>384</v>
      </c>
    </row>
    <row r="143" spans="1:5" x14ac:dyDescent="0.3">
      <c r="A143" t="s">
        <v>360</v>
      </c>
      <c r="B143" t="s">
        <v>246</v>
      </c>
      <c r="E143" t="s">
        <v>382</v>
      </c>
    </row>
    <row r="144" spans="1:5" x14ac:dyDescent="0.3">
      <c r="A144" t="s">
        <v>361</v>
      </c>
      <c r="B144" t="s">
        <v>59</v>
      </c>
      <c r="E144" t="s">
        <v>382</v>
      </c>
    </row>
    <row r="145" spans="1:5" x14ac:dyDescent="0.3">
      <c r="A145" t="s">
        <v>362</v>
      </c>
      <c r="B145" t="s">
        <v>363</v>
      </c>
      <c r="E145" t="s">
        <v>384</v>
      </c>
    </row>
    <row r="146" spans="1:5" x14ac:dyDescent="0.3">
      <c r="A146" t="s">
        <v>364</v>
      </c>
      <c r="B146" t="s">
        <v>59</v>
      </c>
      <c r="E146" t="s">
        <v>383</v>
      </c>
    </row>
    <row r="147" spans="1:5" x14ac:dyDescent="0.3">
      <c r="A147" t="s">
        <v>82</v>
      </c>
      <c r="B147" t="s">
        <v>358</v>
      </c>
      <c r="E147" t="s">
        <v>382</v>
      </c>
    </row>
    <row r="148" spans="1:5" x14ac:dyDescent="0.3">
      <c r="A148" t="s">
        <v>365</v>
      </c>
      <c r="B148" t="s">
        <v>59</v>
      </c>
      <c r="E148" t="s">
        <v>382</v>
      </c>
    </row>
    <row r="149" spans="1:5" x14ac:dyDescent="0.3">
      <c r="A149" t="s">
        <v>366</v>
      </c>
      <c r="B149" t="s">
        <v>59</v>
      </c>
      <c r="E149" t="s">
        <v>382</v>
      </c>
    </row>
    <row r="150" spans="1:5" x14ac:dyDescent="0.3">
      <c r="A150" t="s">
        <v>367</v>
      </c>
      <c r="B150" t="s">
        <v>3</v>
      </c>
      <c r="E150" t="s">
        <v>383</v>
      </c>
    </row>
    <row r="151" spans="1:5" x14ac:dyDescent="0.3">
      <c r="A151" t="s">
        <v>368</v>
      </c>
      <c r="E151" t="s">
        <v>384</v>
      </c>
    </row>
    <row r="152" spans="1:5" x14ac:dyDescent="0.3">
      <c r="A152" t="s">
        <v>369</v>
      </c>
      <c r="B152" t="s">
        <v>370</v>
      </c>
      <c r="E152" t="s">
        <v>384</v>
      </c>
    </row>
    <row r="153" spans="1:5" x14ac:dyDescent="0.3">
      <c r="A153" t="s">
        <v>371</v>
      </c>
      <c r="B153" t="s">
        <v>205</v>
      </c>
      <c r="E153" t="s">
        <v>383</v>
      </c>
    </row>
    <row r="154" spans="1:5" x14ac:dyDescent="0.3">
      <c r="A154" t="s">
        <v>290</v>
      </c>
      <c r="B154" t="s">
        <v>160</v>
      </c>
      <c r="E154" t="s">
        <v>384</v>
      </c>
    </row>
    <row r="155" spans="1:5" x14ac:dyDescent="0.3">
      <c r="A155" t="s">
        <v>372</v>
      </c>
      <c r="B155" t="s">
        <v>373</v>
      </c>
      <c r="E155" t="s">
        <v>382</v>
      </c>
    </row>
    <row r="156" spans="1:5" x14ac:dyDescent="0.3">
      <c r="A156" t="s">
        <v>374</v>
      </c>
      <c r="B156" t="s">
        <v>59</v>
      </c>
      <c r="E156" t="s">
        <v>383</v>
      </c>
    </row>
    <row r="157" spans="1:5" x14ac:dyDescent="0.3">
      <c r="A157" t="s">
        <v>375</v>
      </c>
      <c r="B157" t="s">
        <v>59</v>
      </c>
      <c r="E157" t="s">
        <v>382</v>
      </c>
    </row>
    <row r="158" spans="1:5" x14ac:dyDescent="0.3">
      <c r="A158" t="s">
        <v>376</v>
      </c>
      <c r="B158" t="s">
        <v>59</v>
      </c>
      <c r="E158" t="s">
        <v>384</v>
      </c>
    </row>
    <row r="159" spans="1:5" x14ac:dyDescent="0.3">
      <c r="A159" t="s">
        <v>377</v>
      </c>
      <c r="B159" t="s">
        <v>378</v>
      </c>
      <c r="E159" t="s">
        <v>383</v>
      </c>
    </row>
    <row r="160" spans="1:5" x14ac:dyDescent="0.3">
      <c r="A160" t="s">
        <v>379</v>
      </c>
      <c r="B160" t="s">
        <v>215</v>
      </c>
      <c r="E160" t="s">
        <v>384</v>
      </c>
    </row>
    <row r="161" spans="1:5" x14ac:dyDescent="0.3">
      <c r="A161" t="s">
        <v>266</v>
      </c>
      <c r="B161" t="s">
        <v>380</v>
      </c>
      <c r="E161" t="s">
        <v>382</v>
      </c>
    </row>
    <row r="162" spans="1:5" x14ac:dyDescent="0.3">
      <c r="A162" t="s">
        <v>381</v>
      </c>
      <c r="E162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B0F6-021F-497C-B623-C116770704BC}">
  <dimension ref="A1:AI162"/>
  <sheetViews>
    <sheetView tabSelected="1" zoomScale="85" zoomScaleNormal="85" workbookViewId="0">
      <selection activeCell="G53" sqref="G53"/>
    </sheetView>
  </sheetViews>
  <sheetFormatPr defaultRowHeight="14.4" x14ac:dyDescent="0.3"/>
  <cols>
    <col min="2" max="2" width="11.77734375" style="5" bestFit="1" customWidth="1"/>
    <col min="3" max="3" width="9.6640625" style="5" bestFit="1" customWidth="1"/>
    <col min="4" max="4" width="12.33203125" style="5" bestFit="1" customWidth="1"/>
    <col min="5" max="5" width="11" style="5" bestFit="1" customWidth="1"/>
    <col min="6" max="6" width="18.33203125" style="5" bestFit="1" customWidth="1"/>
    <col min="7" max="7" width="14.109375" style="5" bestFit="1" customWidth="1"/>
    <col min="8" max="8" width="9.6640625" style="5" bestFit="1" customWidth="1"/>
    <col min="9" max="9" width="15.33203125" style="5" bestFit="1" customWidth="1"/>
    <col min="10" max="10" width="13" style="5" bestFit="1" customWidth="1"/>
    <col min="11" max="11" width="15.5546875" style="5" bestFit="1" customWidth="1"/>
    <col min="12" max="12" width="15.109375" style="5" bestFit="1" customWidth="1"/>
    <col min="13" max="13" width="11.33203125" style="5" bestFit="1" customWidth="1"/>
    <col min="14" max="14" width="15.5546875" style="5" bestFit="1" customWidth="1"/>
    <col min="15" max="15" width="7.6640625" style="5" bestFit="1" customWidth="1"/>
    <col min="16" max="16" width="17.77734375" style="5" customWidth="1"/>
    <col min="17" max="17" width="18.109375" style="5" customWidth="1"/>
    <col min="18" max="18" width="9.6640625" style="5" bestFit="1" customWidth="1"/>
    <col min="19" max="19" width="15" bestFit="1" customWidth="1"/>
    <col min="20" max="20" width="7.6640625" bestFit="1" customWidth="1"/>
    <col min="21" max="21" width="17.44140625" bestFit="1" customWidth="1"/>
    <col min="22" max="22" width="13.88671875" bestFit="1" customWidth="1"/>
    <col min="23" max="23" width="9.6640625" bestFit="1" customWidth="1"/>
    <col min="24" max="24" width="12.21875" bestFit="1" customWidth="1"/>
    <col min="25" max="25" width="10.6640625" customWidth="1"/>
  </cols>
  <sheetData>
    <row r="1" spans="1:35" x14ac:dyDescent="0.3">
      <c r="A1">
        <f>SUM(D1:X45)</f>
        <v>161</v>
      </c>
      <c r="F1" s="4" t="s">
        <v>383</v>
      </c>
      <c r="G1" s="4">
        <f>COUNTIFS($G$6:$G$15,F1)</f>
        <v>7</v>
      </c>
      <c r="H1" s="4"/>
      <c r="I1" s="4" t="s">
        <v>383</v>
      </c>
      <c r="J1" s="4">
        <f>COUNTIFS($J$6:$J$15,I1)</f>
        <v>5</v>
      </c>
      <c r="K1" s="4"/>
      <c r="L1" s="4" t="s">
        <v>383</v>
      </c>
      <c r="M1" s="4">
        <f>COUNTIFS($M$6:$M$15,L1)</f>
        <v>4</v>
      </c>
      <c r="AE1" s="1" t="s">
        <v>0</v>
      </c>
      <c r="AF1" s="1" t="s">
        <v>1</v>
      </c>
      <c r="AG1" s="1" t="s">
        <v>387</v>
      </c>
      <c r="AH1" s="1" t="s">
        <v>388</v>
      </c>
      <c r="AI1" s="1" t="s">
        <v>386</v>
      </c>
    </row>
    <row r="2" spans="1:35" x14ac:dyDescent="0.3">
      <c r="F2" s="4" t="s">
        <v>382</v>
      </c>
      <c r="G2" s="4">
        <f t="shared" ref="G2:G4" si="0">COUNTIFS($G$6:$G$15,F2)</f>
        <v>2</v>
      </c>
      <c r="H2" s="4"/>
      <c r="I2" s="4" t="s">
        <v>382</v>
      </c>
      <c r="J2" s="4">
        <f t="shared" ref="J2:J4" si="1">COUNTIFS($J$6:$J$15,I2)</f>
        <v>3</v>
      </c>
      <c r="K2" s="4"/>
      <c r="L2" s="4" t="s">
        <v>382</v>
      </c>
      <c r="M2" s="4">
        <f t="shared" ref="M2:M4" si="2">COUNTIFS($M$6:$M$15,L2)</f>
        <v>3</v>
      </c>
      <c r="AE2" t="s">
        <v>2</v>
      </c>
      <c r="AF2" t="s">
        <v>3</v>
      </c>
      <c r="AG2" t="str">
        <f>CONCATENATE(AE2," ",AF2)</f>
        <v>Cheryl Stewart</v>
      </c>
      <c r="AI2" t="s">
        <v>382</v>
      </c>
    </row>
    <row r="3" spans="1:35" x14ac:dyDescent="0.3">
      <c r="F3" s="4" t="s">
        <v>384</v>
      </c>
      <c r="G3" s="4">
        <f t="shared" si="0"/>
        <v>1</v>
      </c>
      <c r="H3" s="4"/>
      <c r="I3" s="4" t="s">
        <v>384</v>
      </c>
      <c r="J3" s="4">
        <f t="shared" si="1"/>
        <v>2</v>
      </c>
      <c r="K3" s="4"/>
      <c r="L3" s="4" t="s">
        <v>384</v>
      </c>
      <c r="M3" s="4">
        <f t="shared" si="2"/>
        <v>3</v>
      </c>
      <c r="AE3" t="s">
        <v>14</v>
      </c>
      <c r="AF3" t="s">
        <v>15</v>
      </c>
      <c r="AG3" t="str">
        <f t="shared" ref="AG3:AG66" si="3">CONCATENATE(AE3," ",AF3)</f>
        <v>Henri Ong</v>
      </c>
      <c r="AI3" t="s">
        <v>383</v>
      </c>
    </row>
    <row r="4" spans="1:35" x14ac:dyDescent="0.3">
      <c r="F4" s="4" t="s">
        <v>385</v>
      </c>
      <c r="G4" s="4">
        <f t="shared" si="0"/>
        <v>0</v>
      </c>
      <c r="H4" s="4"/>
      <c r="I4" s="4" t="s">
        <v>385</v>
      </c>
      <c r="J4" s="4">
        <f t="shared" si="1"/>
        <v>0</v>
      </c>
      <c r="K4" s="4"/>
      <c r="L4" s="4" t="s">
        <v>385</v>
      </c>
      <c r="M4" s="4">
        <f t="shared" si="2"/>
        <v>0</v>
      </c>
      <c r="AE4" t="s">
        <v>26</v>
      </c>
      <c r="AF4" t="s">
        <v>15</v>
      </c>
      <c r="AG4" t="str">
        <f t="shared" si="3"/>
        <v>Rosalie Ong</v>
      </c>
      <c r="AI4" t="s">
        <v>384</v>
      </c>
    </row>
    <row r="5" spans="1:35" s="1" customFormat="1" x14ac:dyDescent="0.3">
      <c r="B5" s="12"/>
      <c r="C5" s="12"/>
      <c r="D5" s="12"/>
      <c r="E5" s="12"/>
      <c r="F5" s="36" t="s">
        <v>397</v>
      </c>
      <c r="G5" s="36"/>
      <c r="I5" s="36" t="s">
        <v>398</v>
      </c>
      <c r="J5" s="36"/>
      <c r="L5" s="36" t="s">
        <v>399</v>
      </c>
      <c r="M5" s="36"/>
      <c r="N5" s="12"/>
      <c r="O5" s="12"/>
      <c r="P5" s="12"/>
      <c r="Q5" s="12"/>
      <c r="R5" s="12"/>
      <c r="AE5" t="s">
        <v>36</v>
      </c>
      <c r="AF5" t="s">
        <v>3</v>
      </c>
      <c r="AG5" t="str">
        <f t="shared" si="3"/>
        <v>Michelle Stewart</v>
      </c>
      <c r="AH5"/>
      <c r="AI5" t="s">
        <v>384</v>
      </c>
    </row>
    <row r="6" spans="1:35" x14ac:dyDescent="0.3">
      <c r="F6" s="4" t="s">
        <v>84</v>
      </c>
      <c r="G6" s="28" t="str">
        <f>VLOOKUP(F6,$AG$2:$AI$162,3,0)</f>
        <v>Beef</v>
      </c>
      <c r="H6" s="4"/>
      <c r="I6" s="4" t="s">
        <v>161</v>
      </c>
      <c r="J6" s="28" t="str">
        <f>VLOOKUP(I6,$AG$2:$AI$162,3,0)</f>
        <v>Beef</v>
      </c>
      <c r="K6" s="4"/>
      <c r="L6" s="4" t="s">
        <v>190</v>
      </c>
      <c r="M6" s="28" t="str">
        <f>VLOOKUP(L6,$AG$2:$AI$162,3,0)</f>
        <v>Beef</v>
      </c>
      <c r="AE6" t="s">
        <v>47</v>
      </c>
      <c r="AF6" t="s">
        <v>3</v>
      </c>
      <c r="AG6" t="str">
        <f t="shared" si="3"/>
        <v>Gary Stewart</v>
      </c>
      <c r="AI6" t="s">
        <v>384</v>
      </c>
    </row>
    <row r="7" spans="1:35" x14ac:dyDescent="0.3">
      <c r="F7" s="4" t="s">
        <v>95</v>
      </c>
      <c r="G7" s="28" t="str">
        <f t="shared" ref="G7:G15" si="4">VLOOKUP(F7,$AG$2:$AI$162,3,0)</f>
        <v>Beef</v>
      </c>
      <c r="H7" s="4"/>
      <c r="I7" s="4" t="s">
        <v>174</v>
      </c>
      <c r="J7" s="28" t="str">
        <f t="shared" ref="J7:J15" si="5">VLOOKUP(I7,$AG$2:$AI$162,3,0)</f>
        <v>Fish</v>
      </c>
      <c r="K7" s="4"/>
      <c r="L7" s="4" t="s">
        <v>192</v>
      </c>
      <c r="M7" s="28" t="str">
        <f t="shared" ref="M7:M15" si="6">VLOOKUP(L7,$AG$2:$AI$162,3,0)</f>
        <v>Fish</v>
      </c>
      <c r="AE7" t="s">
        <v>58</v>
      </c>
      <c r="AF7" t="s">
        <v>59</v>
      </c>
      <c r="AG7" t="str">
        <f t="shared" si="3"/>
        <v>Li Ling Lim</v>
      </c>
      <c r="AI7" t="s">
        <v>383</v>
      </c>
    </row>
    <row r="8" spans="1:35" x14ac:dyDescent="0.3">
      <c r="F8" s="4" t="s">
        <v>105</v>
      </c>
      <c r="G8" s="28" t="str">
        <f t="shared" si="4"/>
        <v>Beef</v>
      </c>
      <c r="H8" s="4"/>
      <c r="I8" s="4" t="s">
        <v>178</v>
      </c>
      <c r="J8" s="28" t="str">
        <f t="shared" si="5"/>
        <v>Chicken</v>
      </c>
      <c r="K8" s="4"/>
      <c r="L8" s="4" t="s">
        <v>194</v>
      </c>
      <c r="M8" s="28" t="str">
        <f t="shared" si="6"/>
        <v>Beef</v>
      </c>
      <c r="AE8" t="s">
        <v>70</v>
      </c>
      <c r="AF8" t="s">
        <v>3</v>
      </c>
      <c r="AG8" t="str">
        <f t="shared" si="3"/>
        <v>Marcel Stewart</v>
      </c>
      <c r="AI8" t="s">
        <v>382</v>
      </c>
    </row>
    <row r="9" spans="1:35" x14ac:dyDescent="0.3">
      <c r="F9" s="4" t="s">
        <v>62</v>
      </c>
      <c r="G9" s="28" t="str">
        <f t="shared" si="4"/>
        <v>Chicken</v>
      </c>
      <c r="H9" s="4"/>
      <c r="I9" s="4" t="s">
        <v>181</v>
      </c>
      <c r="J9" s="28" t="str">
        <f t="shared" si="5"/>
        <v>Chicken</v>
      </c>
      <c r="K9" s="4"/>
      <c r="L9" s="4" t="s">
        <v>196</v>
      </c>
      <c r="M9" s="28" t="str">
        <f t="shared" si="6"/>
        <v>Chicken</v>
      </c>
      <c r="AE9" t="s">
        <v>82</v>
      </c>
      <c r="AF9" t="s">
        <v>3</v>
      </c>
      <c r="AG9" t="str">
        <f t="shared" si="3"/>
        <v>Elaine Stewart</v>
      </c>
      <c r="AI9" t="s">
        <v>382</v>
      </c>
    </row>
    <row r="10" spans="1:35" x14ac:dyDescent="0.3">
      <c r="F10" s="4" t="s">
        <v>74</v>
      </c>
      <c r="G10" s="28" t="str">
        <f t="shared" si="4"/>
        <v>Chicken</v>
      </c>
      <c r="H10" s="4"/>
      <c r="I10" s="4" t="s">
        <v>184</v>
      </c>
      <c r="J10" s="28" t="str">
        <f t="shared" si="5"/>
        <v>Beef</v>
      </c>
      <c r="K10" s="4"/>
      <c r="L10" s="4" t="s">
        <v>199</v>
      </c>
      <c r="M10" s="28" t="str">
        <f t="shared" si="6"/>
        <v>Beef</v>
      </c>
      <c r="AE10" t="s">
        <v>94</v>
      </c>
      <c r="AF10" t="s">
        <v>3</v>
      </c>
      <c r="AG10" t="str">
        <f t="shared" si="3"/>
        <v>Jarrod Stewart</v>
      </c>
      <c r="AI10" t="s">
        <v>383</v>
      </c>
    </row>
    <row r="11" spans="1:35" x14ac:dyDescent="0.3">
      <c r="F11" s="4" t="s">
        <v>85</v>
      </c>
      <c r="G11" s="28" t="str">
        <f t="shared" si="4"/>
        <v>Fish</v>
      </c>
      <c r="H11" s="4"/>
      <c r="I11" s="4" t="s">
        <v>187</v>
      </c>
      <c r="J11" s="28" t="str">
        <f t="shared" si="5"/>
        <v>Chicken</v>
      </c>
      <c r="K11" s="4"/>
      <c r="L11" s="4" t="s">
        <v>202</v>
      </c>
      <c r="M11" s="28" t="str">
        <f t="shared" si="6"/>
        <v>Fish</v>
      </c>
      <c r="AE11" t="s">
        <v>104</v>
      </c>
      <c r="AF11" t="s">
        <v>59</v>
      </c>
      <c r="AG11" t="str">
        <f t="shared" si="3"/>
        <v>Ooi Khiang Lim</v>
      </c>
      <c r="AI11" t="s">
        <v>383</v>
      </c>
    </row>
    <row r="12" spans="1:35" x14ac:dyDescent="0.3">
      <c r="F12" s="4" t="s">
        <v>61</v>
      </c>
      <c r="G12" s="28" t="str">
        <f t="shared" si="4"/>
        <v>Beef</v>
      </c>
      <c r="H12" s="4"/>
      <c r="I12" s="4" t="s">
        <v>7</v>
      </c>
      <c r="J12" s="28" t="str">
        <f t="shared" si="5"/>
        <v>Beef</v>
      </c>
      <c r="K12" s="4"/>
      <c r="L12" s="4" t="s">
        <v>40</v>
      </c>
      <c r="M12" s="28" t="str">
        <f t="shared" si="6"/>
        <v>Chicken</v>
      </c>
      <c r="AE12" t="s">
        <v>113</v>
      </c>
      <c r="AF12" t="s">
        <v>114</v>
      </c>
      <c r="AG12" t="str">
        <f t="shared" si="3"/>
        <v>Mathilda Kam</v>
      </c>
      <c r="AI12" t="s">
        <v>384</v>
      </c>
    </row>
    <row r="13" spans="1:35" x14ac:dyDescent="0.3">
      <c r="F13" s="4" t="s">
        <v>73</v>
      </c>
      <c r="G13" s="28" t="str">
        <f t="shared" si="4"/>
        <v>Beef</v>
      </c>
      <c r="H13" s="4"/>
      <c r="I13" s="4" t="s">
        <v>19</v>
      </c>
      <c r="J13" s="28" t="str">
        <f t="shared" si="5"/>
        <v>Beef</v>
      </c>
      <c r="K13" s="4"/>
      <c r="L13" s="4" t="s">
        <v>50</v>
      </c>
      <c r="M13" s="28" t="str">
        <f t="shared" si="6"/>
        <v>Fish</v>
      </c>
      <c r="AE13" t="s">
        <v>119</v>
      </c>
      <c r="AF13" t="s">
        <v>59</v>
      </c>
      <c r="AG13" t="str">
        <f t="shared" si="3"/>
        <v>Justin Lim</v>
      </c>
      <c r="AI13" t="s">
        <v>383</v>
      </c>
    </row>
    <row r="14" spans="1:35" x14ac:dyDescent="0.3">
      <c r="F14" s="4" t="s">
        <v>106</v>
      </c>
      <c r="G14" s="28" t="str">
        <f t="shared" si="4"/>
        <v>Beef</v>
      </c>
      <c r="H14" s="4"/>
      <c r="I14" s="4" t="s">
        <v>29</v>
      </c>
      <c r="J14" s="28" t="str">
        <f t="shared" si="5"/>
        <v>Beef</v>
      </c>
      <c r="K14" s="4"/>
      <c r="L14" s="4" t="s">
        <v>97</v>
      </c>
      <c r="M14" s="28" t="str">
        <f t="shared" si="6"/>
        <v>Beef</v>
      </c>
      <c r="AE14" t="s">
        <v>123</v>
      </c>
      <c r="AF14" t="s">
        <v>124</v>
      </c>
      <c r="AG14" t="str">
        <f t="shared" si="3"/>
        <v>Joanne Wong</v>
      </c>
      <c r="AI14" t="s">
        <v>384</v>
      </c>
    </row>
    <row r="15" spans="1:35" x14ac:dyDescent="0.3">
      <c r="F15" s="4" t="s">
        <v>49</v>
      </c>
      <c r="G15" s="28" t="str">
        <f t="shared" si="4"/>
        <v>Beef</v>
      </c>
      <c r="H15" s="4"/>
      <c r="I15" s="4" t="s">
        <v>86</v>
      </c>
      <c r="J15" s="28" t="str">
        <f t="shared" si="5"/>
        <v>Fish</v>
      </c>
      <c r="K15" s="4"/>
      <c r="L15" s="4" t="s">
        <v>107</v>
      </c>
      <c r="M15" s="28" t="str">
        <f t="shared" si="6"/>
        <v>Chicken</v>
      </c>
      <c r="AE15" t="s">
        <v>129</v>
      </c>
      <c r="AF15" t="s">
        <v>59</v>
      </c>
      <c r="AG15" t="str">
        <f t="shared" si="3"/>
        <v>Jazree Lim</v>
      </c>
      <c r="AI15" t="s">
        <v>384</v>
      </c>
    </row>
    <row r="16" spans="1:35" x14ac:dyDescent="0.3">
      <c r="AE16" t="s">
        <v>135</v>
      </c>
      <c r="AF16" t="s">
        <v>136</v>
      </c>
      <c r="AG16" t="str">
        <f t="shared" si="3"/>
        <v>Wei Zer Goh</v>
      </c>
      <c r="AI16" t="s">
        <v>383</v>
      </c>
    </row>
    <row r="17" spans="7:35" x14ac:dyDescent="0.3">
      <c r="G17" s="4"/>
      <c r="H17" s="4"/>
      <c r="I17" s="4" t="s">
        <v>383</v>
      </c>
      <c r="J17" s="4">
        <f>COUNTIFS($G$22:$L$31,I17)</f>
        <v>11</v>
      </c>
      <c r="K17" s="4"/>
      <c r="L17" s="4"/>
      <c r="AE17" t="s">
        <v>142</v>
      </c>
      <c r="AF17" t="s">
        <v>59</v>
      </c>
      <c r="AG17" t="str">
        <f t="shared" si="3"/>
        <v>Jeanna Lim</v>
      </c>
      <c r="AI17" t="s">
        <v>384</v>
      </c>
    </row>
    <row r="18" spans="7:35" x14ac:dyDescent="0.3">
      <c r="G18" s="4"/>
      <c r="H18" s="4"/>
      <c r="I18" s="4" t="s">
        <v>382</v>
      </c>
      <c r="J18" s="4">
        <f t="shared" ref="J18:J20" si="7">COUNTIFS($G$22:$L$31,I18)</f>
        <v>8</v>
      </c>
      <c r="K18" s="4"/>
      <c r="L18" s="4"/>
      <c r="AE18" t="s">
        <v>148</v>
      </c>
      <c r="AF18" t="s">
        <v>59</v>
      </c>
      <c r="AG18" t="str">
        <f t="shared" si="3"/>
        <v>Julynn Lim</v>
      </c>
      <c r="AI18" t="s">
        <v>383</v>
      </c>
    </row>
    <row r="19" spans="7:35" x14ac:dyDescent="0.3">
      <c r="G19" s="4"/>
      <c r="H19" s="4"/>
      <c r="I19" s="4" t="s">
        <v>384</v>
      </c>
      <c r="J19" s="4">
        <f t="shared" si="7"/>
        <v>10</v>
      </c>
      <c r="K19" s="4"/>
      <c r="L19" s="4"/>
      <c r="AE19" t="s">
        <v>154</v>
      </c>
      <c r="AF19" t="s">
        <v>59</v>
      </c>
      <c r="AG19" t="str">
        <f t="shared" si="3"/>
        <v>Maggie Lim</v>
      </c>
      <c r="AI19" t="s">
        <v>383</v>
      </c>
    </row>
    <row r="20" spans="7:35" x14ac:dyDescent="0.3">
      <c r="G20" s="4"/>
      <c r="H20" s="4"/>
      <c r="I20" s="4" t="s">
        <v>385</v>
      </c>
      <c r="J20" s="4">
        <f t="shared" si="7"/>
        <v>1</v>
      </c>
      <c r="K20" s="4"/>
      <c r="L20" s="4"/>
      <c r="AE20" t="s">
        <v>159</v>
      </c>
      <c r="AF20" t="s">
        <v>160</v>
      </c>
      <c r="AG20" t="str">
        <f t="shared" si="3"/>
        <v>Tania Hsu</v>
      </c>
      <c r="AI20" t="s">
        <v>382</v>
      </c>
    </row>
    <row r="21" spans="7:35" x14ac:dyDescent="0.3">
      <c r="G21" s="35" t="s">
        <v>400</v>
      </c>
      <c r="H21" s="35"/>
      <c r="I21" s="35"/>
      <c r="J21" s="35"/>
      <c r="K21" s="35"/>
      <c r="L21" s="35"/>
      <c r="AE21" t="s">
        <v>166</v>
      </c>
      <c r="AF21" t="s">
        <v>59</v>
      </c>
      <c r="AG21" t="str">
        <f t="shared" si="3"/>
        <v>Sam Lim</v>
      </c>
      <c r="AI21" t="s">
        <v>383</v>
      </c>
    </row>
    <row r="22" spans="7:35" x14ac:dyDescent="0.3">
      <c r="G22" s="34" t="s">
        <v>389</v>
      </c>
      <c r="H22" s="28" t="str">
        <f>VLOOKUP(G22,$AG$2:$AI$162,3,0)</f>
        <v>Beef</v>
      </c>
      <c r="I22" s="34" t="s">
        <v>115</v>
      </c>
      <c r="J22" s="28" t="str">
        <f>VLOOKUP(I22,$AG$2:$AI$162,3,0)</f>
        <v>Chicken</v>
      </c>
      <c r="K22" s="25" t="s">
        <v>27</v>
      </c>
      <c r="L22" s="28" t="str">
        <f>VLOOKUP(K22,$AG$2:$AI$162,3,0)</f>
        <v>Vegetarian</v>
      </c>
      <c r="AE22" t="s">
        <v>172</v>
      </c>
      <c r="AF22" t="s">
        <v>173</v>
      </c>
      <c r="AG22" t="str">
        <f t="shared" si="3"/>
        <v>Cynthia Ch'ng</v>
      </c>
      <c r="AI22" t="s">
        <v>384</v>
      </c>
    </row>
    <row r="23" spans="7:35" x14ac:dyDescent="0.3">
      <c r="G23" s="25" t="s">
        <v>20</v>
      </c>
      <c r="H23" s="28" t="str">
        <f t="shared" ref="H23:H31" si="8">VLOOKUP(G23,$AG$2:$AI$162,3,0)</f>
        <v>Fish</v>
      </c>
      <c r="I23" s="25" t="s">
        <v>120</v>
      </c>
      <c r="J23" s="28" t="str">
        <f t="shared" ref="J23:J31" si="9">VLOOKUP(I23,$AG$2:$AI$162,3,0)</f>
        <v>Fish</v>
      </c>
      <c r="K23" s="25" t="s">
        <v>38</v>
      </c>
      <c r="L23" s="28" t="str">
        <f t="shared" ref="L23:L31" si="10">VLOOKUP(K23,$AG$2:$AI$162,3,0)</f>
        <v>Beef</v>
      </c>
      <c r="AE23" t="s">
        <v>177</v>
      </c>
      <c r="AF23" t="s">
        <v>59</v>
      </c>
      <c r="AG23" t="str">
        <f t="shared" si="3"/>
        <v>Will Lim</v>
      </c>
      <c r="AI23" t="s">
        <v>383</v>
      </c>
    </row>
    <row r="24" spans="7:35" ht="16.8" customHeight="1" x14ac:dyDescent="0.3">
      <c r="G24" s="25" t="s">
        <v>30</v>
      </c>
      <c r="H24" s="28" t="str">
        <f t="shared" si="8"/>
        <v>Chicken</v>
      </c>
      <c r="I24" s="25" t="s">
        <v>125</v>
      </c>
      <c r="J24" s="28" t="str">
        <f t="shared" si="9"/>
        <v>Fish</v>
      </c>
      <c r="K24" s="25" t="s">
        <v>48</v>
      </c>
      <c r="L24" s="28" t="str">
        <f t="shared" si="10"/>
        <v>Fish</v>
      </c>
      <c r="AE24" t="s">
        <v>180</v>
      </c>
      <c r="AF24" t="s">
        <v>59</v>
      </c>
      <c r="AG24" t="str">
        <f t="shared" si="3"/>
        <v>Wayne Lim</v>
      </c>
      <c r="AI24" t="s">
        <v>383</v>
      </c>
    </row>
    <row r="25" spans="7:35" x14ac:dyDescent="0.3">
      <c r="G25" s="34" t="s">
        <v>41</v>
      </c>
      <c r="H25" s="28" t="str">
        <f t="shared" si="8"/>
        <v>Chicken</v>
      </c>
      <c r="I25" s="25" t="s">
        <v>167</v>
      </c>
      <c r="J25" s="28" t="str">
        <f t="shared" si="9"/>
        <v>Beef</v>
      </c>
      <c r="K25" s="30" t="s">
        <v>60</v>
      </c>
      <c r="L25" s="28" t="str">
        <f t="shared" si="10"/>
        <v>Beef</v>
      </c>
      <c r="AE25" t="s">
        <v>183</v>
      </c>
      <c r="AF25" t="s">
        <v>59</v>
      </c>
      <c r="AG25" t="str">
        <f t="shared" si="3"/>
        <v>Tina Lim</v>
      </c>
      <c r="AI25" t="s">
        <v>383</v>
      </c>
    </row>
    <row r="26" spans="7:35" x14ac:dyDescent="0.3">
      <c r="G26" s="25" t="s">
        <v>51</v>
      </c>
      <c r="H26" s="28" t="str">
        <f t="shared" si="8"/>
        <v>Beef</v>
      </c>
      <c r="I26" s="25" t="s">
        <v>130</v>
      </c>
      <c r="J26" s="28" t="str">
        <f t="shared" si="9"/>
        <v>Fish</v>
      </c>
      <c r="K26" s="25" t="s">
        <v>72</v>
      </c>
      <c r="L26" s="28" t="str">
        <f t="shared" si="10"/>
        <v>Beef</v>
      </c>
      <c r="AE26" t="s">
        <v>185</v>
      </c>
      <c r="AF26" t="s">
        <v>186</v>
      </c>
      <c r="AG26" t="str">
        <f t="shared" si="3"/>
        <v>Natt-Li Chiew</v>
      </c>
      <c r="AI26" t="s">
        <v>383</v>
      </c>
    </row>
    <row r="27" spans="7:35" x14ac:dyDescent="0.3">
      <c r="G27" s="34" t="s">
        <v>63</v>
      </c>
      <c r="H27" s="28" t="str">
        <f t="shared" si="8"/>
        <v>Beef</v>
      </c>
      <c r="I27" s="25" t="s">
        <v>137</v>
      </c>
      <c r="J27" s="28" t="str">
        <f t="shared" si="9"/>
        <v>Fish</v>
      </c>
      <c r="K27" s="30" t="s">
        <v>18</v>
      </c>
      <c r="L27" s="28" t="str">
        <f t="shared" si="10"/>
        <v>Chicken</v>
      </c>
      <c r="AE27" t="s">
        <v>188</v>
      </c>
      <c r="AF27" t="s">
        <v>186</v>
      </c>
      <c r="AG27" t="str">
        <f t="shared" si="3"/>
        <v>Li-Anne Chiew</v>
      </c>
      <c r="AI27" t="s">
        <v>383</v>
      </c>
    </row>
    <row r="28" spans="7:35" x14ac:dyDescent="0.3">
      <c r="G28" s="25" t="s">
        <v>75</v>
      </c>
      <c r="H28" s="28" t="str">
        <f t="shared" si="8"/>
        <v>Chicken</v>
      </c>
      <c r="I28" s="25" t="s">
        <v>143</v>
      </c>
      <c r="J28" s="28" t="str">
        <f t="shared" si="9"/>
        <v>Beef</v>
      </c>
      <c r="K28" s="25" t="s">
        <v>6</v>
      </c>
      <c r="L28" s="28" t="str">
        <f t="shared" si="10"/>
        <v>Beef</v>
      </c>
      <c r="AE28" t="s">
        <v>189</v>
      </c>
      <c r="AF28" t="s">
        <v>3</v>
      </c>
      <c r="AG28" t="str">
        <f t="shared" si="3"/>
        <v>Angeline Stewart</v>
      </c>
      <c r="AI28" t="s">
        <v>382</v>
      </c>
    </row>
    <row r="29" spans="7:35" x14ac:dyDescent="0.3">
      <c r="G29" s="25" t="s">
        <v>87</v>
      </c>
      <c r="H29" s="28" t="str">
        <f t="shared" si="8"/>
        <v>Chicken</v>
      </c>
      <c r="I29" s="25" t="s">
        <v>149</v>
      </c>
      <c r="J29" s="28" t="str">
        <f t="shared" si="9"/>
        <v>Fish</v>
      </c>
      <c r="K29" s="25" t="s">
        <v>28</v>
      </c>
      <c r="L29" s="28" t="str">
        <f t="shared" si="10"/>
        <v>Chicken</v>
      </c>
      <c r="AE29" t="s">
        <v>191</v>
      </c>
      <c r="AF29" t="s">
        <v>3</v>
      </c>
      <c r="AG29" t="str">
        <f t="shared" si="3"/>
        <v>Bryan Stewart</v>
      </c>
      <c r="AI29" t="s">
        <v>383</v>
      </c>
    </row>
    <row r="30" spans="7:35" x14ac:dyDescent="0.3">
      <c r="G30" s="34" t="s">
        <v>98</v>
      </c>
      <c r="H30" s="28" t="str">
        <f t="shared" si="8"/>
        <v>Fish</v>
      </c>
      <c r="I30" s="30" t="s">
        <v>5</v>
      </c>
      <c r="J30" s="28" t="str">
        <f t="shared" si="9"/>
        <v>Beef</v>
      </c>
      <c r="K30" s="25" t="s">
        <v>39</v>
      </c>
      <c r="L30" s="28" t="str">
        <f t="shared" si="10"/>
        <v>Chicken</v>
      </c>
      <c r="AE30" t="s">
        <v>193</v>
      </c>
      <c r="AF30" t="s">
        <v>3</v>
      </c>
      <c r="AG30" t="str">
        <f t="shared" si="3"/>
        <v>Daryl Stewart</v>
      </c>
      <c r="AI30" t="s">
        <v>382</v>
      </c>
    </row>
    <row r="31" spans="7:35" x14ac:dyDescent="0.3">
      <c r="G31" s="25" t="s">
        <v>108</v>
      </c>
      <c r="H31" s="28" t="str">
        <f t="shared" si="8"/>
        <v>Fish</v>
      </c>
      <c r="I31" s="25" t="s">
        <v>17</v>
      </c>
      <c r="J31" s="28" t="str">
        <f t="shared" si="9"/>
        <v>Beef</v>
      </c>
      <c r="K31" s="25" t="s">
        <v>96</v>
      </c>
      <c r="L31" s="28" t="str">
        <f t="shared" si="10"/>
        <v>Fish</v>
      </c>
      <c r="AE31" t="s">
        <v>195</v>
      </c>
      <c r="AF31" t="s">
        <v>3</v>
      </c>
      <c r="AG31" t="str">
        <f t="shared" si="3"/>
        <v>Carol Stewart</v>
      </c>
      <c r="AI31" t="s">
        <v>383</v>
      </c>
    </row>
    <row r="32" spans="7:35" x14ac:dyDescent="0.3">
      <c r="G32" s="4"/>
      <c r="H32" s="4"/>
      <c r="I32" s="4"/>
      <c r="J32" s="4"/>
      <c r="K32" s="4"/>
      <c r="L32" s="4"/>
      <c r="AE32" t="s">
        <v>197</v>
      </c>
      <c r="AF32" t="s">
        <v>198</v>
      </c>
      <c r="AG32" t="str">
        <f t="shared" si="3"/>
        <v>Matthew Krishnan</v>
      </c>
      <c r="AI32" t="s">
        <v>384</v>
      </c>
    </row>
    <row r="33" spans="2:35" x14ac:dyDescent="0.3">
      <c r="G33" s="4"/>
      <c r="H33" s="4"/>
      <c r="I33" s="4" t="s">
        <v>383</v>
      </c>
      <c r="J33" s="4">
        <f>COUNTIFS($F$37:$M$40,I33)</f>
        <v>4</v>
      </c>
      <c r="K33" s="4"/>
      <c r="L33" s="4"/>
      <c r="AE33" t="s">
        <v>200</v>
      </c>
      <c r="AF33" t="s">
        <v>201</v>
      </c>
      <c r="AG33" t="str">
        <f t="shared" si="3"/>
        <v>Jason Mahendran</v>
      </c>
      <c r="AI33" t="s">
        <v>383</v>
      </c>
    </row>
    <row r="34" spans="2:35" x14ac:dyDescent="0.3">
      <c r="G34" s="4"/>
      <c r="H34" s="4"/>
      <c r="I34" s="4" t="s">
        <v>382</v>
      </c>
      <c r="J34" s="4">
        <f>COUNTIFS($F$37:$M$40,I34)</f>
        <v>1</v>
      </c>
      <c r="K34" s="4"/>
      <c r="L34" s="4"/>
      <c r="AE34" t="s">
        <v>392</v>
      </c>
      <c r="AF34" t="s">
        <v>201</v>
      </c>
      <c r="AG34" t="str">
        <f t="shared" si="3"/>
        <v>Dianne Mahendran</v>
      </c>
      <c r="AI34" t="s">
        <v>384</v>
      </c>
    </row>
    <row r="35" spans="2:35" x14ac:dyDescent="0.3">
      <c r="G35" s="4"/>
      <c r="H35" s="4"/>
      <c r="I35" s="4" t="s">
        <v>384</v>
      </c>
      <c r="J35" s="4">
        <f>COUNTIFS($F$37:$M$40,I35)</f>
        <v>3</v>
      </c>
      <c r="K35" s="4"/>
      <c r="L35" s="4"/>
      <c r="AE35" t="s">
        <v>203</v>
      </c>
      <c r="AF35" t="s">
        <v>59</v>
      </c>
      <c r="AG35" t="str">
        <f t="shared" si="3"/>
        <v>Doreen Lim</v>
      </c>
      <c r="AI35" t="s">
        <v>385</v>
      </c>
    </row>
    <row r="36" spans="2:35" s="11" customFormat="1" ht="15" thickBot="1" x14ac:dyDescent="0.35">
      <c r="B36" s="10"/>
      <c r="C36" s="10"/>
      <c r="D36" s="10"/>
      <c r="F36" s="10"/>
      <c r="G36" s="17"/>
      <c r="H36" s="17"/>
      <c r="I36" s="4" t="s">
        <v>385</v>
      </c>
      <c r="J36" s="4">
        <f>COUNTIFS($F$37:$M$40,I36)</f>
        <v>0</v>
      </c>
      <c r="K36" s="17"/>
      <c r="L36" s="17"/>
      <c r="M36" s="10"/>
      <c r="N36" s="10"/>
      <c r="O36" s="10"/>
      <c r="P36" s="10"/>
      <c r="Q36" s="5"/>
      <c r="R36" s="10"/>
      <c r="AE36" t="s">
        <v>204</v>
      </c>
      <c r="AF36" t="s">
        <v>205</v>
      </c>
      <c r="AG36" t="str">
        <f t="shared" si="3"/>
        <v>Choon Koo</v>
      </c>
      <c r="AH36"/>
      <c r="AI36" t="s">
        <v>382</v>
      </c>
    </row>
    <row r="37" spans="2:35" x14ac:dyDescent="0.3">
      <c r="F37" s="6"/>
      <c r="G37" s="7" t="s">
        <v>76</v>
      </c>
      <c r="H37" s="7" t="s">
        <v>52</v>
      </c>
      <c r="I37" s="23" t="s">
        <v>9</v>
      </c>
      <c r="J37" s="24" t="s">
        <v>21</v>
      </c>
      <c r="K37" s="7" t="s">
        <v>64</v>
      </c>
      <c r="L37" s="7" t="s">
        <v>42</v>
      </c>
      <c r="M37" s="8"/>
      <c r="S37" s="5"/>
      <c r="AE37" t="s">
        <v>206</v>
      </c>
      <c r="AF37" t="s">
        <v>205</v>
      </c>
      <c r="AG37" t="str">
        <f t="shared" si="3"/>
        <v>Jia Ying Koo</v>
      </c>
      <c r="AI37" t="s">
        <v>382</v>
      </c>
    </row>
    <row r="38" spans="2:35" s="22" customFormat="1" x14ac:dyDescent="0.3">
      <c r="B38" s="19"/>
      <c r="C38" s="19"/>
      <c r="D38" s="19"/>
      <c r="F38" s="20"/>
      <c r="G38" s="28" t="str">
        <f>VLOOKUP(G37,$AG$2:$AI$162,3,0)</f>
        <v>Fish</v>
      </c>
      <c r="H38" s="28" t="str">
        <f t="shared" ref="H38:L38" si="11">VLOOKUP(H37,$AG$2:$AI$162,3,0)</f>
        <v>Beef</v>
      </c>
      <c r="I38" s="28" t="str">
        <f t="shared" si="11"/>
        <v>Beef</v>
      </c>
      <c r="J38" s="28" t="str">
        <f t="shared" si="11"/>
        <v>Beef</v>
      </c>
      <c r="K38" s="28" t="str">
        <f t="shared" si="11"/>
        <v>Fish</v>
      </c>
      <c r="L38" s="28" t="str">
        <f t="shared" si="11"/>
        <v>Beef</v>
      </c>
      <c r="M38" s="21"/>
      <c r="N38" s="19"/>
      <c r="O38" s="19"/>
      <c r="P38" s="19"/>
      <c r="Q38" s="19"/>
      <c r="R38" s="19"/>
      <c r="S38" s="19"/>
      <c r="AE38" t="s">
        <v>207</v>
      </c>
      <c r="AF38" t="s">
        <v>186</v>
      </c>
      <c r="AG38" t="str">
        <f t="shared" si="3"/>
        <v>Cae-Li Chiew</v>
      </c>
      <c r="AH38"/>
      <c r="AI38" t="s">
        <v>384</v>
      </c>
    </row>
    <row r="39" spans="2:35" x14ac:dyDescent="0.3">
      <c r="F39" s="16" t="s">
        <v>88</v>
      </c>
      <c r="G39" s="17"/>
      <c r="H39" s="17"/>
      <c r="I39" s="17"/>
      <c r="J39" s="17"/>
      <c r="K39" s="17"/>
      <c r="L39" s="17"/>
      <c r="M39" s="18" t="s">
        <v>31</v>
      </c>
      <c r="S39" s="5"/>
      <c r="AE39" t="s">
        <v>208</v>
      </c>
      <c r="AF39" t="s">
        <v>209</v>
      </c>
      <c r="AG39" t="str">
        <f t="shared" si="3"/>
        <v>David Soh</v>
      </c>
      <c r="AI39" t="s">
        <v>383</v>
      </c>
    </row>
    <row r="40" spans="2:35" ht="15" thickBot="1" x14ac:dyDescent="0.35">
      <c r="F40" s="32" t="str">
        <f>VLOOKUP(F39,$AG$2:$AI$162,3,0)</f>
        <v>Chicken</v>
      </c>
      <c r="G40" s="9"/>
      <c r="H40" s="9"/>
      <c r="I40" s="37" t="s">
        <v>406</v>
      </c>
      <c r="J40" s="37"/>
      <c r="K40" s="9"/>
      <c r="L40" s="9"/>
      <c r="M40" s="33" t="str">
        <f>VLOOKUP(M39,$AG$2:$AI$162,3,0)</f>
        <v>Fish</v>
      </c>
      <c r="S40" s="5"/>
      <c r="AE40" t="s">
        <v>8</v>
      </c>
      <c r="AF40" t="s">
        <v>390</v>
      </c>
      <c r="AG40" t="str">
        <f t="shared" si="3"/>
        <v>Shu Li Sum</v>
      </c>
      <c r="AI40" t="s">
        <v>383</v>
      </c>
    </row>
    <row r="41" spans="2:35" x14ac:dyDescent="0.3">
      <c r="AE41" t="s">
        <v>210</v>
      </c>
      <c r="AF41" t="s">
        <v>211</v>
      </c>
      <c r="AG41" t="str">
        <f t="shared" si="3"/>
        <v>Eshin Ang</v>
      </c>
      <c r="AI41" t="s">
        <v>382</v>
      </c>
    </row>
    <row r="42" spans="2:35" s="3" customFormat="1" x14ac:dyDescent="0.3">
      <c r="B42" s="4"/>
      <c r="C42" s="4" t="s">
        <v>383</v>
      </c>
      <c r="D42" s="4">
        <f>COUNTIFS($B$47:$E$56,C42)</f>
        <v>1</v>
      </c>
      <c r="E42" s="4"/>
      <c r="F42" s="4"/>
      <c r="G42" s="4"/>
      <c r="H42" s="4" t="s">
        <v>383</v>
      </c>
      <c r="I42" s="4">
        <f>COUNTIFS($G$47:$J$57,H42)</f>
        <v>3</v>
      </c>
      <c r="J42" s="4"/>
      <c r="K42" s="4"/>
      <c r="L42" s="4"/>
      <c r="M42" s="4" t="s">
        <v>383</v>
      </c>
      <c r="N42" s="4">
        <f>COUNTIFS($L$47:$O$56,M42)</f>
        <v>7</v>
      </c>
      <c r="O42" s="4"/>
      <c r="P42" s="4"/>
      <c r="Q42" s="4"/>
      <c r="R42" s="4" t="s">
        <v>383</v>
      </c>
      <c r="S42" s="4">
        <f>COUNTIFS($Q$47:$T$57,R42)</f>
        <v>8</v>
      </c>
      <c r="W42" s="4" t="s">
        <v>383</v>
      </c>
      <c r="X42" s="4">
        <f>COUNTIFS($V$47:$Y$57,W42)</f>
        <v>13</v>
      </c>
      <c r="AE42" t="s">
        <v>212</v>
      </c>
      <c r="AF42" t="s">
        <v>213</v>
      </c>
      <c r="AG42" t="str">
        <f t="shared" si="3"/>
        <v>Sean Ng</v>
      </c>
      <c r="AH42"/>
      <c r="AI42" t="s">
        <v>383</v>
      </c>
    </row>
    <row r="43" spans="2:35" s="3" customFormat="1" x14ac:dyDescent="0.3">
      <c r="B43" s="4"/>
      <c r="C43" s="4" t="s">
        <v>382</v>
      </c>
      <c r="D43" s="4">
        <f>COUNTIFS($B$47:$E$56,C43)</f>
        <v>6</v>
      </c>
      <c r="E43" s="4"/>
      <c r="F43" s="4"/>
      <c r="G43" s="4"/>
      <c r="H43" s="4" t="s">
        <v>382</v>
      </c>
      <c r="I43" s="4">
        <f t="shared" ref="I43:I45" si="12">COUNTIFS($G$47:$J$57,H43)</f>
        <v>8</v>
      </c>
      <c r="J43" s="4"/>
      <c r="K43" s="4"/>
      <c r="L43" s="4"/>
      <c r="M43" s="4" t="s">
        <v>382</v>
      </c>
      <c r="N43" s="4">
        <f t="shared" ref="N43:N45" si="13">COUNTIFS($L$47:$O$56,M43)</f>
        <v>7</v>
      </c>
      <c r="O43" s="4"/>
      <c r="P43" s="4"/>
      <c r="Q43" s="4"/>
      <c r="R43" s="4" t="s">
        <v>382</v>
      </c>
      <c r="S43" s="4">
        <f t="shared" ref="S43:S45" si="14">COUNTIFS($Q$47:$T$57,R43)</f>
        <v>5</v>
      </c>
      <c r="W43" s="4" t="s">
        <v>382</v>
      </c>
      <c r="X43" s="4">
        <f t="shared" ref="X43:X45" si="15">COUNTIFS($V$47:$Y$57,W43)</f>
        <v>3</v>
      </c>
      <c r="AE43" t="s">
        <v>214</v>
      </c>
      <c r="AF43" t="s">
        <v>215</v>
      </c>
      <c r="AG43" t="str">
        <f t="shared" si="3"/>
        <v>Brenda Chong</v>
      </c>
      <c r="AH43"/>
      <c r="AI43" t="s">
        <v>383</v>
      </c>
    </row>
    <row r="44" spans="2:35" s="3" customFormat="1" x14ac:dyDescent="0.3">
      <c r="B44" s="4"/>
      <c r="C44" s="4" t="s">
        <v>384</v>
      </c>
      <c r="D44" s="4">
        <f t="shared" ref="D44:D45" si="16">COUNTIFS($B$47:$E$56,C44)</f>
        <v>3</v>
      </c>
      <c r="E44" s="4"/>
      <c r="F44" s="4"/>
      <c r="G44" s="4"/>
      <c r="H44" s="4" t="s">
        <v>384</v>
      </c>
      <c r="I44" s="4">
        <f t="shared" si="12"/>
        <v>9</v>
      </c>
      <c r="J44" s="4"/>
      <c r="K44" s="4"/>
      <c r="L44" s="4"/>
      <c r="M44" s="4" t="s">
        <v>384</v>
      </c>
      <c r="N44" s="4">
        <f t="shared" si="13"/>
        <v>5</v>
      </c>
      <c r="O44" s="4"/>
      <c r="P44" s="4"/>
      <c r="Q44" s="4"/>
      <c r="R44" s="4" t="s">
        <v>384</v>
      </c>
      <c r="S44" s="4">
        <f t="shared" si="14"/>
        <v>8</v>
      </c>
      <c r="W44" s="4" t="s">
        <v>384</v>
      </c>
      <c r="X44" s="4">
        <f t="shared" si="15"/>
        <v>6</v>
      </c>
      <c r="AE44" t="s">
        <v>216</v>
      </c>
      <c r="AF44" t="s">
        <v>217</v>
      </c>
      <c r="AG44" t="str">
        <f t="shared" si="3"/>
        <v>Zheng Chia</v>
      </c>
      <c r="AH44"/>
      <c r="AI44" t="s">
        <v>382</v>
      </c>
    </row>
    <row r="45" spans="2:35" s="3" customFormat="1" ht="15" customHeight="1" x14ac:dyDescent="0.3">
      <c r="B45" s="4"/>
      <c r="C45" s="4" t="s">
        <v>385</v>
      </c>
      <c r="D45" s="4">
        <f t="shared" si="16"/>
        <v>0</v>
      </c>
      <c r="E45" s="4"/>
      <c r="F45" s="4"/>
      <c r="G45" s="4"/>
      <c r="H45" s="4" t="s">
        <v>385</v>
      </c>
      <c r="I45" s="4">
        <f t="shared" si="12"/>
        <v>0</v>
      </c>
      <c r="J45" s="4"/>
      <c r="K45" s="4"/>
      <c r="L45" s="4"/>
      <c r="M45" s="4" t="s">
        <v>385</v>
      </c>
      <c r="N45" s="4">
        <f t="shared" si="13"/>
        <v>1</v>
      </c>
      <c r="O45" s="4"/>
      <c r="P45" s="4"/>
      <c r="Q45" s="4"/>
      <c r="R45" s="4" t="s">
        <v>385</v>
      </c>
      <c r="S45" s="4">
        <f t="shared" si="14"/>
        <v>0</v>
      </c>
      <c r="W45" s="4" t="s">
        <v>385</v>
      </c>
      <c r="X45" s="4">
        <f t="shared" si="15"/>
        <v>0</v>
      </c>
      <c r="AE45" t="s">
        <v>218</v>
      </c>
      <c r="AF45" t="s">
        <v>219</v>
      </c>
      <c r="AG45" t="str">
        <f t="shared" si="3"/>
        <v>Hui Yi Foo</v>
      </c>
      <c r="AH45"/>
      <c r="AI45" t="s">
        <v>382</v>
      </c>
    </row>
    <row r="46" spans="2:35" s="2" customFormat="1" x14ac:dyDescent="0.3">
      <c r="B46" s="35" t="s">
        <v>401</v>
      </c>
      <c r="C46" s="35"/>
      <c r="D46" s="35"/>
      <c r="E46" s="35"/>
      <c r="F46" s="26"/>
      <c r="G46" s="35" t="s">
        <v>402</v>
      </c>
      <c r="H46" s="35"/>
      <c r="I46" s="35"/>
      <c r="J46" s="35"/>
      <c r="L46" s="35" t="s">
        <v>403</v>
      </c>
      <c r="M46" s="35"/>
      <c r="N46" s="35"/>
      <c r="O46" s="35"/>
      <c r="P46" s="26"/>
      <c r="Q46" s="35" t="s">
        <v>404</v>
      </c>
      <c r="R46" s="35"/>
      <c r="S46" s="35"/>
      <c r="T46" s="35"/>
      <c r="V46" s="35" t="s">
        <v>405</v>
      </c>
      <c r="W46" s="35"/>
      <c r="X46" s="35"/>
      <c r="Y46" s="35"/>
      <c r="AE46" t="s">
        <v>220</v>
      </c>
      <c r="AF46" t="s">
        <v>221</v>
      </c>
      <c r="AG46" t="str">
        <f t="shared" si="3"/>
        <v>Dharshen Naidu</v>
      </c>
      <c r="AH46"/>
      <c r="AI46" t="s">
        <v>384</v>
      </c>
    </row>
    <row r="47" spans="2:35" s="3" customFormat="1" ht="14.4" customHeight="1" x14ac:dyDescent="0.3">
      <c r="B47" s="27" t="s">
        <v>10</v>
      </c>
      <c r="C47" s="28" t="str">
        <f t="shared" ref="C47:C51" si="17">VLOOKUP(B47,$AG$2:$AI$162,3,0)</f>
        <v>Fish</v>
      </c>
      <c r="D47" s="27" t="s">
        <v>22</v>
      </c>
      <c r="E47" s="28" t="str">
        <f t="shared" ref="E47:E51" si="18">VLOOKUP(D47,$AG$2:$AI$162,3,0)</f>
        <v>Chicken</v>
      </c>
      <c r="F47" s="26"/>
      <c r="G47" s="27" t="s">
        <v>11</v>
      </c>
      <c r="H47" s="28" t="str">
        <f t="shared" ref="H47:H56" si="19">VLOOKUP(G47,$AG$2:$AI$162,3,0)</f>
        <v>Chicken</v>
      </c>
      <c r="I47" s="27" t="s">
        <v>78</v>
      </c>
      <c r="J47" s="28" t="str">
        <f t="shared" ref="J47:J56" si="20">VLOOKUP(I47,$AG$2:$AI$162,3,0)</f>
        <v>Chicken</v>
      </c>
      <c r="K47" s="4"/>
      <c r="L47" s="27" t="s">
        <v>12</v>
      </c>
      <c r="M47" s="28" t="str">
        <f t="shared" ref="M47:M56" si="21">VLOOKUP(L47,$AG$2:$AI$162,3,0)</f>
        <v>Beef</v>
      </c>
      <c r="N47" s="27" t="s">
        <v>71</v>
      </c>
      <c r="O47" s="28" t="str">
        <f t="shared" ref="O47:O56" si="22">VLOOKUP(N47,$AG$2:$AI$162,3,0)</f>
        <v>Chicken</v>
      </c>
      <c r="P47" s="4"/>
      <c r="Q47" s="27" t="s">
        <v>46</v>
      </c>
      <c r="R47" s="28" t="str">
        <f t="shared" ref="R47:R56" si="23">VLOOKUP(Q47,$AG$2:$AI$162,3,0)</f>
        <v>Beef</v>
      </c>
      <c r="S47" s="26" t="s">
        <v>37</v>
      </c>
      <c r="T47" s="28" t="str">
        <f t="shared" ref="T47:T57" si="24">VLOOKUP(S47,$AG$2:$AI$162,3,0)</f>
        <v>Fish</v>
      </c>
      <c r="V47" s="2" t="s">
        <v>158</v>
      </c>
      <c r="W47" s="28" t="str">
        <f t="shared" ref="W47:W57" si="25">VLOOKUP(V47,$AG$2:$AI$162,3,0)</f>
        <v>Beef</v>
      </c>
      <c r="X47" s="29" t="s">
        <v>121</v>
      </c>
      <c r="Y47" s="28" t="str">
        <f t="shared" ref="Y47:Y57" si="26">VLOOKUP(X47,$AG$2:$AI$162,3,0)</f>
        <v>Beef</v>
      </c>
      <c r="AE47" t="s">
        <v>222</v>
      </c>
      <c r="AF47" t="s">
        <v>223</v>
      </c>
      <c r="AG47" t="str">
        <f t="shared" si="3"/>
        <v>Thivya Manokaran</v>
      </c>
      <c r="AH47"/>
      <c r="AI47" t="s">
        <v>384</v>
      </c>
    </row>
    <row r="48" spans="2:35" s="3" customFormat="1" ht="14.4" customHeight="1" x14ac:dyDescent="0.3">
      <c r="B48" s="17" t="s">
        <v>99</v>
      </c>
      <c r="C48" s="28" t="str">
        <f t="shared" si="17"/>
        <v>Chicken</v>
      </c>
      <c r="D48" s="17" t="s">
        <v>53</v>
      </c>
      <c r="E48" s="28" t="str">
        <f t="shared" si="18"/>
        <v>Beef</v>
      </c>
      <c r="F48" s="4"/>
      <c r="G48" s="3" t="s">
        <v>23</v>
      </c>
      <c r="H48" s="28" t="str">
        <f t="shared" si="19"/>
        <v>Fish</v>
      </c>
      <c r="I48" s="3" t="s">
        <v>90</v>
      </c>
      <c r="J48" s="28" t="str">
        <f t="shared" si="20"/>
        <v>Fish</v>
      </c>
      <c r="K48" s="4"/>
      <c r="L48" s="17" t="s">
        <v>24</v>
      </c>
      <c r="M48" s="28" t="str">
        <f t="shared" si="21"/>
        <v>Fish</v>
      </c>
      <c r="N48" s="3" t="s">
        <v>83</v>
      </c>
      <c r="O48" s="28" t="str">
        <f t="shared" si="22"/>
        <v>Chicken</v>
      </c>
      <c r="P48" s="4"/>
      <c r="Q48" s="17" t="s">
        <v>35</v>
      </c>
      <c r="R48" s="28" t="str">
        <f t="shared" si="23"/>
        <v>Fish</v>
      </c>
      <c r="S48" s="17" t="s">
        <v>117</v>
      </c>
      <c r="T48" s="28" t="str">
        <f t="shared" si="24"/>
        <v>Chicken</v>
      </c>
      <c r="V48" s="3" t="s">
        <v>153</v>
      </c>
      <c r="W48" s="28" t="str">
        <f t="shared" si="25"/>
        <v>Chicken</v>
      </c>
      <c r="X48" s="3" t="s">
        <v>127</v>
      </c>
      <c r="Y48" s="28" t="str">
        <f t="shared" si="26"/>
        <v>Fish</v>
      </c>
      <c r="AE48" t="s">
        <v>224</v>
      </c>
      <c r="AF48" t="s">
        <v>225</v>
      </c>
      <c r="AG48" t="str">
        <f t="shared" si="3"/>
        <v>Sha Lin Ooi</v>
      </c>
      <c r="AH48"/>
      <c r="AI48" t="s">
        <v>384</v>
      </c>
    </row>
    <row r="49" spans="2:35" s="3" customFormat="1" ht="14.4" customHeight="1" x14ac:dyDescent="0.3">
      <c r="B49" s="17" t="s">
        <v>109</v>
      </c>
      <c r="C49" s="28" t="str">
        <f t="shared" si="17"/>
        <v>Fish</v>
      </c>
      <c r="D49" s="17" t="s">
        <v>65</v>
      </c>
      <c r="E49" s="28" t="str">
        <f t="shared" si="18"/>
        <v>Chicken</v>
      </c>
      <c r="F49" s="4"/>
      <c r="G49" s="3" t="s">
        <v>33</v>
      </c>
      <c r="H49" s="28" t="str">
        <f t="shared" si="19"/>
        <v>Chicken</v>
      </c>
      <c r="I49" s="3" t="s">
        <v>126</v>
      </c>
      <c r="J49" s="28" t="str">
        <f t="shared" si="20"/>
        <v>Fish</v>
      </c>
      <c r="K49" s="4"/>
      <c r="L49" s="4" t="s">
        <v>101</v>
      </c>
      <c r="M49" s="28" t="str">
        <f t="shared" si="21"/>
        <v>Fish</v>
      </c>
      <c r="N49" s="3" t="s">
        <v>139</v>
      </c>
      <c r="O49" s="28" t="str">
        <f t="shared" si="22"/>
        <v>Beef</v>
      </c>
      <c r="P49" s="4"/>
      <c r="Q49" s="30" t="s">
        <v>13</v>
      </c>
      <c r="R49" s="28" t="str">
        <f t="shared" si="23"/>
        <v>Chicken</v>
      </c>
      <c r="S49" s="4" t="s">
        <v>4</v>
      </c>
      <c r="T49" s="28" t="str">
        <f t="shared" si="24"/>
        <v>Chicken</v>
      </c>
      <c r="V49" s="3" t="s">
        <v>118</v>
      </c>
      <c r="W49" s="28" t="str">
        <f t="shared" si="25"/>
        <v>Chicken</v>
      </c>
      <c r="X49" s="3" t="s">
        <v>140</v>
      </c>
      <c r="Y49" s="28" t="str">
        <f t="shared" si="26"/>
        <v>Fish</v>
      </c>
      <c r="AE49" t="s">
        <v>226</v>
      </c>
      <c r="AF49" t="s">
        <v>225</v>
      </c>
      <c r="AG49" t="str">
        <f t="shared" si="3"/>
        <v>Megan Ooi</v>
      </c>
      <c r="AH49"/>
      <c r="AI49" t="s">
        <v>384</v>
      </c>
    </row>
    <row r="50" spans="2:35" s="3" customFormat="1" ht="14.4" customHeight="1" x14ac:dyDescent="0.3">
      <c r="B50" s="17" t="s">
        <v>32</v>
      </c>
      <c r="C50" s="28" t="str">
        <f t="shared" si="17"/>
        <v>Chicken</v>
      </c>
      <c r="D50" s="17" t="s">
        <v>43</v>
      </c>
      <c r="E50" s="28" t="str">
        <f t="shared" si="18"/>
        <v>Fish</v>
      </c>
      <c r="F50" s="4"/>
      <c r="G50" s="3" t="s">
        <v>44</v>
      </c>
      <c r="H50" s="28" t="str">
        <f t="shared" si="19"/>
        <v>Fish</v>
      </c>
      <c r="I50" s="3" t="s">
        <v>131</v>
      </c>
      <c r="J50" s="28" t="str">
        <f t="shared" si="20"/>
        <v>Chicken</v>
      </c>
      <c r="K50" s="4"/>
      <c r="L50" s="4" t="s">
        <v>111</v>
      </c>
      <c r="M50" s="28" t="str">
        <f t="shared" si="21"/>
        <v>Beef</v>
      </c>
      <c r="N50" s="3" t="s">
        <v>145</v>
      </c>
      <c r="O50" s="28" t="str">
        <f t="shared" si="22"/>
        <v>Fish</v>
      </c>
      <c r="P50" s="4"/>
      <c r="Q50" s="17" t="s">
        <v>25</v>
      </c>
      <c r="R50" s="28" t="str">
        <f t="shared" si="23"/>
        <v>Chicken</v>
      </c>
      <c r="S50" s="31" t="s">
        <v>391</v>
      </c>
      <c r="T50" s="28" t="str">
        <f t="shared" si="24"/>
        <v>Fish</v>
      </c>
      <c r="V50" s="3" t="s">
        <v>122</v>
      </c>
      <c r="W50" s="28" t="str">
        <f t="shared" si="25"/>
        <v>Fish</v>
      </c>
      <c r="X50" s="4" t="s">
        <v>133</v>
      </c>
      <c r="Y50" s="28" t="str">
        <f t="shared" si="26"/>
        <v>Chicken</v>
      </c>
      <c r="AE50" t="s">
        <v>227</v>
      </c>
      <c r="AF50" t="s">
        <v>228</v>
      </c>
      <c r="AG50" t="str">
        <f t="shared" si="3"/>
        <v>Da Hui Tou</v>
      </c>
      <c r="AH50"/>
      <c r="AI50" t="s">
        <v>383</v>
      </c>
    </row>
    <row r="51" spans="2:35" s="3" customFormat="1" ht="14.4" customHeight="1" x14ac:dyDescent="0.3">
      <c r="B51" s="17" t="s">
        <v>89</v>
      </c>
      <c r="C51" s="28" t="str">
        <f t="shared" si="17"/>
        <v>Chicken</v>
      </c>
      <c r="D51" s="17" t="s">
        <v>77</v>
      </c>
      <c r="E51" s="28" t="str">
        <f t="shared" si="18"/>
        <v>Chicken</v>
      </c>
      <c r="F51" s="4"/>
      <c r="G51" s="3" t="s">
        <v>100</v>
      </c>
      <c r="H51" s="28" t="str">
        <f t="shared" si="19"/>
        <v>Chicken</v>
      </c>
      <c r="I51" s="3" t="s">
        <v>138</v>
      </c>
      <c r="J51" s="28" t="str">
        <f t="shared" si="20"/>
        <v>Chicken</v>
      </c>
      <c r="K51" s="4"/>
      <c r="L51" s="4" t="s">
        <v>91</v>
      </c>
      <c r="M51" s="28" t="str">
        <f t="shared" si="21"/>
        <v>Chicken</v>
      </c>
      <c r="N51" s="3" t="s">
        <v>156</v>
      </c>
      <c r="O51" s="28" t="str">
        <f t="shared" si="22"/>
        <v>Beef</v>
      </c>
      <c r="P51" s="4"/>
      <c r="Q51" s="3" t="s">
        <v>57</v>
      </c>
      <c r="R51" s="28" t="str">
        <f t="shared" si="23"/>
        <v>Beef</v>
      </c>
      <c r="S51" s="17" t="s">
        <v>16</v>
      </c>
      <c r="T51" s="28" t="str">
        <f t="shared" si="24"/>
        <v>Beef</v>
      </c>
      <c r="V51" s="3" t="s">
        <v>141</v>
      </c>
      <c r="W51" s="28" t="str">
        <f t="shared" si="25"/>
        <v>Fish</v>
      </c>
      <c r="X51" s="3" t="s">
        <v>146</v>
      </c>
      <c r="Y51" s="28" t="str">
        <f t="shared" si="26"/>
        <v>Beef</v>
      </c>
      <c r="AE51" t="s">
        <v>229</v>
      </c>
      <c r="AF51" t="s">
        <v>213</v>
      </c>
      <c r="AG51" t="str">
        <f t="shared" si="3"/>
        <v>Samuel Ng</v>
      </c>
      <c r="AH51"/>
      <c r="AI51" t="s">
        <v>382</v>
      </c>
    </row>
    <row r="52" spans="2:35" s="3" customFormat="1" ht="14.4" customHeight="1" x14ac:dyDescent="0.3">
      <c r="B52" s="4"/>
      <c r="C52" s="4"/>
      <c r="D52" s="4"/>
      <c r="E52" s="4"/>
      <c r="F52" s="4"/>
      <c r="G52" s="3" t="s">
        <v>110</v>
      </c>
      <c r="H52" s="28" t="str">
        <f t="shared" si="19"/>
        <v>Fish</v>
      </c>
      <c r="I52" s="3" t="s">
        <v>144</v>
      </c>
      <c r="J52" s="28" t="str">
        <f t="shared" si="20"/>
        <v>Beef</v>
      </c>
      <c r="K52" s="4"/>
      <c r="L52" s="4" t="s">
        <v>79</v>
      </c>
      <c r="M52" s="28" t="str">
        <f t="shared" si="21"/>
        <v>Vegetarian</v>
      </c>
      <c r="N52" s="3" t="s">
        <v>163</v>
      </c>
      <c r="O52" s="28" t="str">
        <f t="shared" si="22"/>
        <v>Fish</v>
      </c>
      <c r="P52" s="4"/>
      <c r="Q52" s="3" t="s">
        <v>69</v>
      </c>
      <c r="R52" s="28" t="str">
        <f t="shared" si="23"/>
        <v>Fish</v>
      </c>
      <c r="S52" s="3" t="s">
        <v>93</v>
      </c>
      <c r="T52" s="28" t="str">
        <f t="shared" si="24"/>
        <v>Beef</v>
      </c>
      <c r="V52" s="3" t="s">
        <v>147</v>
      </c>
      <c r="W52" s="28" t="str">
        <f t="shared" si="25"/>
        <v>Beef</v>
      </c>
      <c r="X52" s="3" t="s">
        <v>152</v>
      </c>
      <c r="Y52" s="28" t="str">
        <f t="shared" si="26"/>
        <v>Beef</v>
      </c>
      <c r="AE52" t="s">
        <v>230</v>
      </c>
      <c r="AF52" t="s">
        <v>231</v>
      </c>
      <c r="AG52" t="str">
        <f t="shared" si="3"/>
        <v>Chee Hau Cheong</v>
      </c>
      <c r="AH52"/>
      <c r="AI52" t="s">
        <v>382</v>
      </c>
    </row>
    <row r="53" spans="2:35" s="3" customFormat="1" ht="14.4" customHeight="1" x14ac:dyDescent="0.3">
      <c r="B53" s="4"/>
      <c r="C53" s="4"/>
      <c r="D53" s="4"/>
      <c r="E53" s="4"/>
      <c r="F53" s="4"/>
      <c r="G53" s="3" t="s">
        <v>116</v>
      </c>
      <c r="H53" s="28" t="str">
        <f t="shared" si="19"/>
        <v>Fish</v>
      </c>
      <c r="I53" s="3" t="s">
        <v>150</v>
      </c>
      <c r="J53" s="28" t="str">
        <f t="shared" si="20"/>
        <v>Fish</v>
      </c>
      <c r="K53" s="4"/>
      <c r="L53" s="4" t="s">
        <v>34</v>
      </c>
      <c r="M53" s="28" t="str">
        <f t="shared" si="21"/>
        <v>Beef</v>
      </c>
      <c r="N53" s="3" t="s">
        <v>132</v>
      </c>
      <c r="O53" s="28" t="str">
        <f t="shared" si="22"/>
        <v>Chicken</v>
      </c>
      <c r="P53" s="4"/>
      <c r="Q53" s="3" t="s">
        <v>103</v>
      </c>
      <c r="R53" s="28" t="str">
        <f t="shared" si="23"/>
        <v>Fish</v>
      </c>
      <c r="S53" s="3" t="s">
        <v>81</v>
      </c>
      <c r="T53" s="28" t="str">
        <f t="shared" si="24"/>
        <v>Fish</v>
      </c>
      <c r="V53" s="3" t="s">
        <v>134</v>
      </c>
      <c r="W53" s="28" t="str">
        <f t="shared" si="25"/>
        <v>Beef</v>
      </c>
      <c r="X53" s="3" t="s">
        <v>157</v>
      </c>
      <c r="Y53" s="28" t="str">
        <f t="shared" si="26"/>
        <v>Beef</v>
      </c>
      <c r="AE53" t="s">
        <v>232</v>
      </c>
      <c r="AF53" t="s">
        <v>233</v>
      </c>
      <c r="AG53" t="str">
        <f t="shared" si="3"/>
        <v>Elanor Oh</v>
      </c>
      <c r="AH53"/>
      <c r="AI53" t="s">
        <v>383</v>
      </c>
    </row>
    <row r="54" spans="2:35" s="3" customFormat="1" ht="14.4" customHeight="1" x14ac:dyDescent="0.3">
      <c r="B54" s="4"/>
      <c r="C54" s="4"/>
      <c r="D54" s="4"/>
      <c r="E54" s="4"/>
      <c r="F54" s="4"/>
      <c r="G54" s="3" t="s">
        <v>407</v>
      </c>
      <c r="H54" s="28" t="str">
        <f t="shared" si="19"/>
        <v>Chicken</v>
      </c>
      <c r="I54" s="3" t="s">
        <v>155</v>
      </c>
      <c r="J54" s="28" t="str">
        <f t="shared" si="20"/>
        <v>Beef</v>
      </c>
      <c r="K54" s="4"/>
      <c r="L54" s="4" t="s">
        <v>67</v>
      </c>
      <c r="M54" s="28" t="str">
        <f t="shared" si="21"/>
        <v>Beef</v>
      </c>
      <c r="N54" s="4" t="s">
        <v>151</v>
      </c>
      <c r="O54" s="28" t="str">
        <f t="shared" si="22"/>
        <v>Chicken</v>
      </c>
      <c r="P54" s="4"/>
      <c r="Q54" s="17" t="s">
        <v>112</v>
      </c>
      <c r="R54" s="28" t="str">
        <f t="shared" si="23"/>
        <v>Beef</v>
      </c>
      <c r="S54" s="4" t="s">
        <v>68</v>
      </c>
      <c r="T54" s="28" t="str">
        <f t="shared" si="24"/>
        <v>Beef</v>
      </c>
      <c r="V54" s="3" t="s">
        <v>128</v>
      </c>
      <c r="W54" s="28" t="str">
        <f t="shared" si="25"/>
        <v>Beef</v>
      </c>
      <c r="X54" s="3" t="s">
        <v>164</v>
      </c>
      <c r="Y54" s="28" t="str">
        <f t="shared" si="26"/>
        <v>Beef</v>
      </c>
      <c r="AE54" t="s">
        <v>234</v>
      </c>
      <c r="AF54" t="s">
        <v>215</v>
      </c>
      <c r="AG54" t="str">
        <f t="shared" si="3"/>
        <v>Summer Chong</v>
      </c>
      <c r="AH54"/>
      <c r="AI54" t="s">
        <v>383</v>
      </c>
    </row>
    <row r="55" spans="2:35" s="3" customFormat="1" ht="14.4" customHeight="1" x14ac:dyDescent="0.3">
      <c r="B55" s="4"/>
      <c r="C55" s="4"/>
      <c r="D55" s="4"/>
      <c r="E55" s="4"/>
      <c r="F55" s="4"/>
      <c r="G55" s="3" t="s">
        <v>66</v>
      </c>
      <c r="H55" s="28" t="str">
        <f t="shared" si="19"/>
        <v>Beef</v>
      </c>
      <c r="I55" s="3" t="s">
        <v>162</v>
      </c>
      <c r="J55" s="28" t="str">
        <f t="shared" si="20"/>
        <v>Chicken</v>
      </c>
      <c r="K55" s="4"/>
      <c r="L55" s="4" t="s">
        <v>45</v>
      </c>
      <c r="M55" s="28" t="str">
        <f t="shared" si="21"/>
        <v>Beef</v>
      </c>
      <c r="N55" s="3" t="s">
        <v>169</v>
      </c>
      <c r="O55" s="28" t="str">
        <f t="shared" si="22"/>
        <v>Chicken</v>
      </c>
      <c r="P55" s="4"/>
      <c r="Q55" s="17" t="s">
        <v>102</v>
      </c>
      <c r="R55" s="28" t="str">
        <f t="shared" si="23"/>
        <v>Beef</v>
      </c>
      <c r="S55" s="17" t="s">
        <v>80</v>
      </c>
      <c r="T55" s="28" t="str">
        <f t="shared" si="24"/>
        <v>Chicken</v>
      </c>
      <c r="V55" s="3" t="s">
        <v>165</v>
      </c>
      <c r="W55" s="28" t="str">
        <f t="shared" si="25"/>
        <v>Beef</v>
      </c>
      <c r="X55" s="3" t="s">
        <v>176</v>
      </c>
      <c r="Y55" s="28" t="str">
        <f t="shared" si="26"/>
        <v>Beef</v>
      </c>
      <c r="AE55" t="s">
        <v>235</v>
      </c>
      <c r="AF55" t="s">
        <v>59</v>
      </c>
      <c r="AG55" t="str">
        <f t="shared" si="3"/>
        <v>Lyn Dee Lim</v>
      </c>
      <c r="AH55"/>
      <c r="AI55" t="s">
        <v>383</v>
      </c>
    </row>
    <row r="56" spans="2:35" s="3" customFormat="1" ht="14.4" customHeight="1" x14ac:dyDescent="0.3">
      <c r="B56" s="4"/>
      <c r="C56" s="4"/>
      <c r="D56" s="4"/>
      <c r="E56" s="4"/>
      <c r="F56" s="4"/>
      <c r="G56" s="3" t="s">
        <v>54</v>
      </c>
      <c r="H56" s="28" t="str">
        <f t="shared" si="19"/>
        <v>Fish</v>
      </c>
      <c r="I56" s="3" t="s">
        <v>168</v>
      </c>
      <c r="J56" s="28" t="str">
        <f t="shared" si="20"/>
        <v>Fish</v>
      </c>
      <c r="K56" s="4"/>
      <c r="L56" s="4" t="s">
        <v>55</v>
      </c>
      <c r="M56" s="28" t="str">
        <f t="shared" si="21"/>
        <v>Fish</v>
      </c>
      <c r="N56" s="3" t="s">
        <v>175</v>
      </c>
      <c r="O56" s="28" t="str">
        <f t="shared" si="22"/>
        <v>Chicken</v>
      </c>
      <c r="P56" s="4"/>
      <c r="Q56" s="17" t="s">
        <v>393</v>
      </c>
      <c r="R56" s="28" t="str">
        <f t="shared" si="23"/>
        <v>Fish</v>
      </c>
      <c r="S56" s="3" t="s">
        <v>56</v>
      </c>
      <c r="T56" s="28" t="str">
        <f t="shared" si="24"/>
        <v>Beef</v>
      </c>
      <c r="V56" s="3" t="s">
        <v>171</v>
      </c>
      <c r="W56" s="28" t="str">
        <f t="shared" si="25"/>
        <v>Beef</v>
      </c>
      <c r="X56" s="3" t="s">
        <v>182</v>
      </c>
      <c r="Y56" s="28" t="str">
        <f t="shared" si="26"/>
        <v>Fish</v>
      </c>
      <c r="AE56" t="s">
        <v>236</v>
      </c>
      <c r="AF56" t="s">
        <v>237</v>
      </c>
      <c r="AG56" t="str">
        <f t="shared" si="3"/>
        <v>Henna Sanghvi</v>
      </c>
      <c r="AH56"/>
      <c r="AI56" t="s">
        <v>384</v>
      </c>
    </row>
    <row r="57" spans="2:35" s="3" customFormat="1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7"/>
      <c r="P57" s="17"/>
      <c r="Q57" s="4"/>
      <c r="R57" s="4"/>
      <c r="S57" s="3" t="s">
        <v>92</v>
      </c>
      <c r="T57" s="28" t="str">
        <f t="shared" si="24"/>
        <v>Fish</v>
      </c>
      <c r="V57" s="3" t="s">
        <v>170</v>
      </c>
      <c r="W57" s="28" t="str">
        <f t="shared" si="25"/>
        <v>Fish</v>
      </c>
      <c r="X57" s="4" t="s">
        <v>179</v>
      </c>
      <c r="Y57" s="28" t="str">
        <f t="shared" si="26"/>
        <v>Beef</v>
      </c>
      <c r="AE57" t="s">
        <v>36</v>
      </c>
      <c r="AF57" t="s">
        <v>238</v>
      </c>
      <c r="AG57" t="str">
        <f t="shared" si="3"/>
        <v>Michelle Koh</v>
      </c>
      <c r="AH57"/>
      <c r="AI57" t="s">
        <v>384</v>
      </c>
    </row>
    <row r="58" spans="2:35" s="3" customFormat="1" x14ac:dyDescent="0.3">
      <c r="B58" s="4"/>
      <c r="C58" s="4"/>
      <c r="D58" s="4"/>
      <c r="E58" s="4"/>
      <c r="F58" s="4"/>
      <c r="G58" s="4"/>
      <c r="H58" s="4"/>
      <c r="I58" s="4"/>
      <c r="J58" s="17"/>
      <c r="K58" s="17"/>
      <c r="L58" s="4"/>
      <c r="M58" s="17"/>
      <c r="N58" s="17"/>
      <c r="O58" s="17"/>
      <c r="P58" s="17"/>
      <c r="Q58" s="4"/>
      <c r="R58" s="17"/>
      <c r="AE58" t="s">
        <v>239</v>
      </c>
      <c r="AF58" t="s">
        <v>240</v>
      </c>
      <c r="AG58" t="str">
        <f t="shared" si="3"/>
        <v>Kimberly Chen</v>
      </c>
      <c r="AH58"/>
      <c r="AI58" t="s">
        <v>382</v>
      </c>
    </row>
    <row r="59" spans="2:35" x14ac:dyDescent="0.3">
      <c r="D59" s="13"/>
      <c r="E59" t="s">
        <v>396</v>
      </c>
      <c r="J59" s="10"/>
      <c r="K59" s="10"/>
      <c r="M59" s="10"/>
      <c r="N59" s="10"/>
      <c r="O59" s="10"/>
      <c r="P59" s="10"/>
      <c r="Q59" s="10"/>
      <c r="R59" s="10"/>
      <c r="AE59" t="s">
        <v>241</v>
      </c>
      <c r="AF59" t="s">
        <v>242</v>
      </c>
      <c r="AG59" t="str">
        <f t="shared" si="3"/>
        <v>Xiao Rou Tay</v>
      </c>
      <c r="AI59" t="s">
        <v>384</v>
      </c>
    </row>
    <row r="60" spans="2:35" x14ac:dyDescent="0.3">
      <c r="D60" s="14"/>
      <c r="E60" t="s">
        <v>395</v>
      </c>
      <c r="AE60" t="s">
        <v>191</v>
      </c>
      <c r="AF60" t="s">
        <v>243</v>
      </c>
      <c r="AG60" t="str">
        <f t="shared" si="3"/>
        <v>Bryan Cheng</v>
      </c>
      <c r="AI60" t="s">
        <v>383</v>
      </c>
    </row>
    <row r="61" spans="2:35" x14ac:dyDescent="0.3">
      <c r="D61" s="15"/>
      <c r="E61" t="s">
        <v>394</v>
      </c>
      <c r="AE61" t="s">
        <v>244</v>
      </c>
      <c r="AF61" t="s">
        <v>231</v>
      </c>
      <c r="AG61" t="str">
        <f t="shared" si="3"/>
        <v>Jamie Cheong</v>
      </c>
      <c r="AI61" t="s">
        <v>383</v>
      </c>
    </row>
    <row r="62" spans="2:35" x14ac:dyDescent="0.3">
      <c r="AE62" t="s">
        <v>245</v>
      </c>
      <c r="AF62" t="s">
        <v>246</v>
      </c>
      <c r="AG62" t="str">
        <f t="shared" si="3"/>
        <v>Skylar Yeo</v>
      </c>
      <c r="AI62" t="s">
        <v>384</v>
      </c>
    </row>
    <row r="63" spans="2:35" x14ac:dyDescent="0.3">
      <c r="AE63" t="s">
        <v>247</v>
      </c>
      <c r="AF63" t="s">
        <v>248</v>
      </c>
      <c r="AG63" t="str">
        <f t="shared" si="3"/>
        <v>Jian-Jie Phang</v>
      </c>
      <c r="AI63" t="s">
        <v>382</v>
      </c>
    </row>
    <row r="64" spans="2:35" x14ac:dyDescent="0.3">
      <c r="AE64" t="s">
        <v>249</v>
      </c>
      <c r="AF64" t="s">
        <v>250</v>
      </c>
      <c r="AG64" t="str">
        <f t="shared" si="3"/>
        <v>Nick Edmondes</v>
      </c>
      <c r="AI64" t="s">
        <v>382</v>
      </c>
    </row>
    <row r="65" spans="31:35" x14ac:dyDescent="0.3">
      <c r="AE65" t="s">
        <v>251</v>
      </c>
      <c r="AF65" t="s">
        <v>252</v>
      </c>
      <c r="AG65" t="str">
        <f t="shared" si="3"/>
        <v>Sunil Singh</v>
      </c>
      <c r="AI65" t="s">
        <v>383</v>
      </c>
    </row>
    <row r="66" spans="31:35" x14ac:dyDescent="0.3">
      <c r="AE66" t="s">
        <v>253</v>
      </c>
      <c r="AF66" t="s">
        <v>254</v>
      </c>
      <c r="AG66" t="str">
        <f t="shared" si="3"/>
        <v>Jessica Wee</v>
      </c>
      <c r="AI66" t="s">
        <v>382</v>
      </c>
    </row>
    <row r="67" spans="31:35" x14ac:dyDescent="0.3">
      <c r="AE67" t="s">
        <v>255</v>
      </c>
      <c r="AF67" t="s">
        <v>59</v>
      </c>
      <c r="AG67" t="str">
        <f t="shared" ref="AG67:AG130" si="27">CONCATENATE(AE67," ",AF67)</f>
        <v>Veronica Lim</v>
      </c>
      <c r="AI67" t="s">
        <v>384</v>
      </c>
    </row>
    <row r="68" spans="31:35" x14ac:dyDescent="0.3">
      <c r="AE68" t="s">
        <v>256</v>
      </c>
      <c r="AF68" t="s">
        <v>257</v>
      </c>
      <c r="AG68" t="str">
        <f t="shared" si="27"/>
        <v>Chow Ching Leow</v>
      </c>
      <c r="AI68" t="s">
        <v>383</v>
      </c>
    </row>
    <row r="69" spans="31:35" x14ac:dyDescent="0.3">
      <c r="AE69" t="s">
        <v>200</v>
      </c>
      <c r="AF69" t="s">
        <v>257</v>
      </c>
      <c r="AG69" t="str">
        <f t="shared" si="27"/>
        <v>Jason Leow</v>
      </c>
      <c r="AI69" t="s">
        <v>382</v>
      </c>
    </row>
    <row r="70" spans="31:35" x14ac:dyDescent="0.3">
      <c r="AE70" t="s">
        <v>258</v>
      </c>
      <c r="AF70" t="s">
        <v>259</v>
      </c>
      <c r="AG70" t="str">
        <f t="shared" si="27"/>
        <v>Regina Rathanam</v>
      </c>
      <c r="AI70" t="s">
        <v>382</v>
      </c>
    </row>
    <row r="71" spans="31:35" x14ac:dyDescent="0.3">
      <c r="AE71" t="s">
        <v>260</v>
      </c>
      <c r="AF71" t="s">
        <v>261</v>
      </c>
      <c r="AG71" t="str">
        <f t="shared" si="27"/>
        <v>Saimon Senivasan</v>
      </c>
      <c r="AI71" t="s">
        <v>382</v>
      </c>
    </row>
    <row r="72" spans="31:35" x14ac:dyDescent="0.3">
      <c r="AE72" t="s">
        <v>262</v>
      </c>
      <c r="AF72" t="s">
        <v>242</v>
      </c>
      <c r="AG72" t="str">
        <f t="shared" si="27"/>
        <v>Kenny Tay</v>
      </c>
      <c r="AI72" t="s">
        <v>383</v>
      </c>
    </row>
    <row r="73" spans="31:35" x14ac:dyDescent="0.3">
      <c r="AE73" t="s">
        <v>263</v>
      </c>
      <c r="AF73" t="s">
        <v>59</v>
      </c>
      <c r="AG73" t="str">
        <f t="shared" si="27"/>
        <v>Sharon Lim</v>
      </c>
      <c r="AI73" t="s">
        <v>384</v>
      </c>
    </row>
    <row r="74" spans="31:35" x14ac:dyDescent="0.3">
      <c r="AE74" t="s">
        <v>264</v>
      </c>
      <c r="AF74" t="s">
        <v>242</v>
      </c>
      <c r="AG74" t="str">
        <f t="shared" si="27"/>
        <v>Jordan Tay</v>
      </c>
      <c r="AI74" t="s">
        <v>382</v>
      </c>
    </row>
    <row r="75" spans="31:35" x14ac:dyDescent="0.3">
      <c r="AE75" t="s">
        <v>265</v>
      </c>
      <c r="AF75" t="s">
        <v>266</v>
      </c>
      <c r="AG75" t="str">
        <f t="shared" si="27"/>
        <v>Kye Li Tan</v>
      </c>
      <c r="AI75" t="s">
        <v>382</v>
      </c>
    </row>
    <row r="76" spans="31:35" x14ac:dyDescent="0.3">
      <c r="AE76" t="s">
        <v>267</v>
      </c>
      <c r="AF76" t="s">
        <v>242</v>
      </c>
      <c r="AG76" t="str">
        <f t="shared" si="27"/>
        <v>Jacqueline Tay</v>
      </c>
      <c r="AI76" t="s">
        <v>384</v>
      </c>
    </row>
    <row r="77" spans="31:35" x14ac:dyDescent="0.3">
      <c r="AE77" t="s">
        <v>268</v>
      </c>
      <c r="AF77" t="s">
        <v>269</v>
      </c>
      <c r="AG77" t="str">
        <f t="shared" si="27"/>
        <v>Derick Choe</v>
      </c>
      <c r="AI77" t="s">
        <v>383</v>
      </c>
    </row>
    <row r="78" spans="31:35" x14ac:dyDescent="0.3">
      <c r="AE78" t="s">
        <v>270</v>
      </c>
      <c r="AF78" t="s">
        <v>266</v>
      </c>
      <c r="AG78" t="str">
        <f t="shared" si="27"/>
        <v>Sze Yin Tan</v>
      </c>
      <c r="AI78" t="s">
        <v>384</v>
      </c>
    </row>
    <row r="79" spans="31:35" x14ac:dyDescent="0.3">
      <c r="AE79" t="s">
        <v>271</v>
      </c>
      <c r="AF79" t="s">
        <v>272</v>
      </c>
      <c r="AG79" t="str">
        <f t="shared" si="27"/>
        <v>Sabrina Seow</v>
      </c>
      <c r="AI79" t="s">
        <v>382</v>
      </c>
    </row>
    <row r="80" spans="31:35" x14ac:dyDescent="0.3">
      <c r="AE80" t="s">
        <v>273</v>
      </c>
      <c r="AF80" t="s">
        <v>274</v>
      </c>
      <c r="AG80" t="str">
        <f t="shared" si="27"/>
        <v>Soo Han Khoo</v>
      </c>
      <c r="AI80" t="s">
        <v>384</v>
      </c>
    </row>
    <row r="81" spans="31:35" x14ac:dyDescent="0.3">
      <c r="AE81" t="s">
        <v>275</v>
      </c>
      <c r="AF81" t="s">
        <v>266</v>
      </c>
      <c r="AG81" t="str">
        <f t="shared" si="27"/>
        <v>Shun Ning Tan</v>
      </c>
      <c r="AI81" t="s">
        <v>383</v>
      </c>
    </row>
    <row r="82" spans="31:35" x14ac:dyDescent="0.3">
      <c r="AE82" t="s">
        <v>276</v>
      </c>
      <c r="AF82" t="s">
        <v>277</v>
      </c>
      <c r="AG82" t="str">
        <f t="shared" si="27"/>
        <v>Evan Soo</v>
      </c>
      <c r="AI82" t="s">
        <v>383</v>
      </c>
    </row>
    <row r="83" spans="31:35" x14ac:dyDescent="0.3">
      <c r="AE83" t="s">
        <v>278</v>
      </c>
      <c r="AF83" t="s">
        <v>59</v>
      </c>
      <c r="AG83" t="str">
        <f t="shared" si="27"/>
        <v>Khe Lyn Lim</v>
      </c>
      <c r="AI83" t="s">
        <v>383</v>
      </c>
    </row>
    <row r="84" spans="31:35" x14ac:dyDescent="0.3">
      <c r="AE84" t="s">
        <v>208</v>
      </c>
      <c r="AF84" t="s">
        <v>279</v>
      </c>
      <c r="AG84" t="str">
        <f t="shared" si="27"/>
        <v>David Chew</v>
      </c>
      <c r="AI84" t="s">
        <v>383</v>
      </c>
    </row>
    <row r="85" spans="31:35" x14ac:dyDescent="0.3">
      <c r="AE85" t="s">
        <v>280</v>
      </c>
      <c r="AF85" t="s">
        <v>242</v>
      </c>
      <c r="AG85" t="str">
        <f t="shared" si="27"/>
        <v>Ashley Tay</v>
      </c>
      <c r="AI85" t="s">
        <v>383</v>
      </c>
    </row>
    <row r="86" spans="31:35" x14ac:dyDescent="0.3">
      <c r="AE86" t="s">
        <v>281</v>
      </c>
      <c r="AF86" t="s">
        <v>282</v>
      </c>
      <c r="AG86" t="str">
        <f t="shared" si="27"/>
        <v>Jia Wei Lee</v>
      </c>
      <c r="AI86" t="s">
        <v>383</v>
      </c>
    </row>
    <row r="87" spans="31:35" x14ac:dyDescent="0.3">
      <c r="AE87" t="s">
        <v>283</v>
      </c>
      <c r="AF87" t="s">
        <v>284</v>
      </c>
      <c r="AG87" t="str">
        <f t="shared" si="27"/>
        <v>Chong En Chai</v>
      </c>
      <c r="AI87" t="s">
        <v>383</v>
      </c>
    </row>
    <row r="88" spans="31:35" x14ac:dyDescent="0.3">
      <c r="AE88" t="s">
        <v>285</v>
      </c>
      <c r="AF88" t="s">
        <v>238</v>
      </c>
      <c r="AG88" t="str">
        <f t="shared" si="27"/>
        <v>Khai Jieq Koh</v>
      </c>
      <c r="AI88" t="s">
        <v>382</v>
      </c>
    </row>
    <row r="89" spans="31:35" x14ac:dyDescent="0.3">
      <c r="AE89" t="s">
        <v>286</v>
      </c>
      <c r="AF89" t="s">
        <v>287</v>
      </c>
      <c r="AG89" t="str">
        <f t="shared" si="27"/>
        <v>Bingzhe Liew</v>
      </c>
      <c r="AI89" t="s">
        <v>383</v>
      </c>
    </row>
    <row r="90" spans="31:35" x14ac:dyDescent="0.3">
      <c r="AE90" t="s">
        <v>288</v>
      </c>
      <c r="AF90" t="s">
        <v>289</v>
      </c>
      <c r="AG90" t="str">
        <f t="shared" si="27"/>
        <v>Xu Bin Kuang</v>
      </c>
      <c r="AI90" t="s">
        <v>383</v>
      </c>
    </row>
    <row r="91" spans="31:35" x14ac:dyDescent="0.3">
      <c r="AE91" t="s">
        <v>290</v>
      </c>
      <c r="AF91" t="s">
        <v>291</v>
      </c>
      <c r="AG91" t="str">
        <f t="shared" si="27"/>
        <v>Brian Voo</v>
      </c>
      <c r="AI91" t="s">
        <v>385</v>
      </c>
    </row>
    <row r="92" spans="31:35" x14ac:dyDescent="0.3">
      <c r="AE92" t="s">
        <v>280</v>
      </c>
      <c r="AF92" t="s">
        <v>292</v>
      </c>
      <c r="AG92" t="str">
        <f t="shared" si="27"/>
        <v>Ashley Sern</v>
      </c>
      <c r="AI92" t="s">
        <v>382</v>
      </c>
    </row>
    <row r="93" spans="31:35" x14ac:dyDescent="0.3">
      <c r="AE93" t="s">
        <v>293</v>
      </c>
      <c r="AF93" t="s">
        <v>59</v>
      </c>
      <c r="AG93" t="str">
        <f t="shared" si="27"/>
        <v>Richard Lim</v>
      </c>
      <c r="AI93" t="s">
        <v>384</v>
      </c>
    </row>
    <row r="94" spans="31:35" x14ac:dyDescent="0.3">
      <c r="AE94" t="s">
        <v>294</v>
      </c>
      <c r="AF94" t="s">
        <v>282</v>
      </c>
      <c r="AG94" t="str">
        <f t="shared" si="27"/>
        <v>Wynton Lee</v>
      </c>
      <c r="AI94" t="s">
        <v>383</v>
      </c>
    </row>
    <row r="95" spans="31:35" x14ac:dyDescent="0.3">
      <c r="AE95" t="s">
        <v>295</v>
      </c>
      <c r="AF95" t="s">
        <v>136</v>
      </c>
      <c r="AG95" t="str">
        <f t="shared" si="27"/>
        <v>Jody Goh</v>
      </c>
      <c r="AI95" t="s">
        <v>384</v>
      </c>
    </row>
    <row r="96" spans="31:35" x14ac:dyDescent="0.3">
      <c r="AE96" t="s">
        <v>296</v>
      </c>
      <c r="AF96" t="s">
        <v>297</v>
      </c>
      <c r="AG96" t="str">
        <f t="shared" si="27"/>
        <v>Jian Long Quek</v>
      </c>
      <c r="AI96" t="s">
        <v>382</v>
      </c>
    </row>
    <row r="97" spans="31:35" x14ac:dyDescent="0.3">
      <c r="AE97" t="s">
        <v>298</v>
      </c>
      <c r="AF97" t="s">
        <v>3</v>
      </c>
      <c r="AG97" t="str">
        <f t="shared" si="27"/>
        <v>Nicole Stewart</v>
      </c>
      <c r="AI97" t="s">
        <v>383</v>
      </c>
    </row>
    <row r="98" spans="31:35" x14ac:dyDescent="0.3">
      <c r="AE98" t="s">
        <v>299</v>
      </c>
      <c r="AF98" t="s">
        <v>242</v>
      </c>
      <c r="AG98" t="str">
        <f t="shared" si="27"/>
        <v>Joseph Tay</v>
      </c>
      <c r="AI98" t="s">
        <v>383</v>
      </c>
    </row>
    <row r="99" spans="31:35" x14ac:dyDescent="0.3">
      <c r="AE99" t="s">
        <v>300</v>
      </c>
      <c r="AF99" t="s">
        <v>242</v>
      </c>
      <c r="AG99" t="str">
        <f t="shared" si="27"/>
        <v>Keng Piau Tay</v>
      </c>
      <c r="AI99" t="s">
        <v>382</v>
      </c>
    </row>
    <row r="100" spans="31:35" x14ac:dyDescent="0.3">
      <c r="AE100" t="s">
        <v>301</v>
      </c>
      <c r="AF100" t="s">
        <v>266</v>
      </c>
      <c r="AG100" t="str">
        <f t="shared" si="27"/>
        <v>Annie Tan</v>
      </c>
      <c r="AI100" t="s">
        <v>384</v>
      </c>
    </row>
    <row r="101" spans="31:35" x14ac:dyDescent="0.3">
      <c r="AE101" t="s">
        <v>302</v>
      </c>
      <c r="AF101" t="s">
        <v>242</v>
      </c>
      <c r="AG101" t="str">
        <f t="shared" si="27"/>
        <v>Alycia Tay</v>
      </c>
      <c r="AI101" t="s">
        <v>382</v>
      </c>
    </row>
    <row r="102" spans="31:35" x14ac:dyDescent="0.3">
      <c r="AE102" t="s">
        <v>303</v>
      </c>
      <c r="AF102" t="s">
        <v>242</v>
      </c>
      <c r="AG102" t="str">
        <f t="shared" si="27"/>
        <v>Amberly Tay</v>
      </c>
      <c r="AI102" t="s">
        <v>384</v>
      </c>
    </row>
    <row r="103" spans="31:35" x14ac:dyDescent="0.3">
      <c r="AE103" t="s">
        <v>304</v>
      </c>
      <c r="AF103" t="s">
        <v>3</v>
      </c>
      <c r="AG103" t="str">
        <f t="shared" si="27"/>
        <v>Linda Stewart</v>
      </c>
      <c r="AI103" t="s">
        <v>382</v>
      </c>
    </row>
    <row r="104" spans="31:35" x14ac:dyDescent="0.3">
      <c r="AE104" t="s">
        <v>305</v>
      </c>
      <c r="AF104" t="s">
        <v>306</v>
      </c>
      <c r="AG104" t="str">
        <f t="shared" si="27"/>
        <v>Nelson Danker</v>
      </c>
      <c r="AI104" t="s">
        <v>384</v>
      </c>
    </row>
    <row r="105" spans="31:35" x14ac:dyDescent="0.3">
      <c r="AE105" t="s">
        <v>307</v>
      </c>
      <c r="AF105" t="s">
        <v>242</v>
      </c>
      <c r="AG105" t="str">
        <f t="shared" si="27"/>
        <v>Poi Kim Tay</v>
      </c>
      <c r="AI105" t="s">
        <v>383</v>
      </c>
    </row>
    <row r="106" spans="31:35" x14ac:dyDescent="0.3">
      <c r="AE106" t="s">
        <v>308</v>
      </c>
      <c r="AF106" t="s">
        <v>279</v>
      </c>
      <c r="AG106" t="str">
        <f t="shared" si="27"/>
        <v>Sue Peng Chew</v>
      </c>
      <c r="AI106" t="s">
        <v>384</v>
      </c>
    </row>
    <row r="107" spans="31:35" x14ac:dyDescent="0.3">
      <c r="AE107" t="s">
        <v>309</v>
      </c>
      <c r="AF107" t="s">
        <v>310</v>
      </c>
      <c r="AG107" t="str">
        <f t="shared" si="27"/>
        <v>Maeson Chan</v>
      </c>
      <c r="AI107" t="s">
        <v>383</v>
      </c>
    </row>
    <row r="108" spans="31:35" x14ac:dyDescent="0.3">
      <c r="AE108" t="s">
        <v>244</v>
      </c>
      <c r="AF108" t="s">
        <v>59</v>
      </c>
      <c r="AG108" t="str">
        <f t="shared" si="27"/>
        <v>Jamie Lim</v>
      </c>
      <c r="AI108" t="s">
        <v>383</v>
      </c>
    </row>
    <row r="109" spans="31:35" x14ac:dyDescent="0.3">
      <c r="AE109" t="s">
        <v>311</v>
      </c>
      <c r="AF109" t="s">
        <v>312</v>
      </c>
      <c r="AG109" t="str">
        <f t="shared" si="27"/>
        <v>Chia Weng Teoh</v>
      </c>
      <c r="AI109" t="s">
        <v>384</v>
      </c>
    </row>
    <row r="110" spans="31:35" x14ac:dyDescent="0.3">
      <c r="AE110" t="s">
        <v>313</v>
      </c>
      <c r="AF110" t="s">
        <v>314</v>
      </c>
      <c r="AG110" t="str">
        <f t="shared" si="27"/>
        <v>Sheryl Teo</v>
      </c>
      <c r="AI110" t="s">
        <v>383</v>
      </c>
    </row>
    <row r="111" spans="31:35" x14ac:dyDescent="0.3">
      <c r="AE111" t="s">
        <v>315</v>
      </c>
      <c r="AF111" t="s">
        <v>312</v>
      </c>
      <c r="AG111" t="str">
        <f t="shared" si="27"/>
        <v>Ronald Teoh</v>
      </c>
      <c r="AI111" t="s">
        <v>383</v>
      </c>
    </row>
    <row r="112" spans="31:35" x14ac:dyDescent="0.3">
      <c r="AE112" t="s">
        <v>316</v>
      </c>
      <c r="AF112" t="s">
        <v>317</v>
      </c>
      <c r="AG112" t="str">
        <f t="shared" si="27"/>
        <v>Joyi Mok</v>
      </c>
      <c r="AI112" t="s">
        <v>384</v>
      </c>
    </row>
    <row r="113" spans="31:35" x14ac:dyDescent="0.3">
      <c r="AE113" t="s">
        <v>318</v>
      </c>
      <c r="AF113" t="s">
        <v>319</v>
      </c>
      <c r="AG113" t="str">
        <f t="shared" si="27"/>
        <v>Dave Sanjay Shah</v>
      </c>
      <c r="AI113" t="s">
        <v>383</v>
      </c>
    </row>
    <row r="114" spans="31:35" x14ac:dyDescent="0.3">
      <c r="AE114" t="s">
        <v>320</v>
      </c>
      <c r="AF114" t="s">
        <v>321</v>
      </c>
      <c r="AG114" t="str">
        <f t="shared" si="27"/>
        <v>Samson Hong</v>
      </c>
      <c r="AI114" t="s">
        <v>383</v>
      </c>
    </row>
    <row r="115" spans="31:35" x14ac:dyDescent="0.3">
      <c r="AE115" t="s">
        <v>322</v>
      </c>
      <c r="AF115" t="s">
        <v>323</v>
      </c>
      <c r="AG115" t="str">
        <f t="shared" si="27"/>
        <v>Izzat Nasser</v>
      </c>
      <c r="AI115" t="s">
        <v>383</v>
      </c>
    </row>
    <row r="116" spans="31:35" x14ac:dyDescent="0.3">
      <c r="AE116" t="s">
        <v>324</v>
      </c>
      <c r="AF116" t="s">
        <v>325</v>
      </c>
      <c r="AG116" t="str">
        <f t="shared" si="27"/>
        <v>Keat Li Chuah</v>
      </c>
      <c r="AI116" t="s">
        <v>383</v>
      </c>
    </row>
    <row r="117" spans="31:35" x14ac:dyDescent="0.3">
      <c r="AE117" t="s">
        <v>326</v>
      </c>
      <c r="AF117" t="s">
        <v>327</v>
      </c>
      <c r="AG117" t="str">
        <f t="shared" si="27"/>
        <v>Kamun Thoe</v>
      </c>
      <c r="AI117" t="s">
        <v>384</v>
      </c>
    </row>
    <row r="118" spans="31:35" x14ac:dyDescent="0.3">
      <c r="AE118" t="s">
        <v>328</v>
      </c>
      <c r="AF118" t="s">
        <v>310</v>
      </c>
      <c r="AG118" t="str">
        <f t="shared" si="27"/>
        <v>Jacynta Chan</v>
      </c>
      <c r="AI118" t="s">
        <v>383</v>
      </c>
    </row>
    <row r="119" spans="31:35" x14ac:dyDescent="0.3">
      <c r="AE119" t="s">
        <v>329</v>
      </c>
      <c r="AF119" t="s">
        <v>243</v>
      </c>
      <c r="AG119" t="str">
        <f t="shared" si="27"/>
        <v>Weng Hou Cheng</v>
      </c>
      <c r="AI119" t="s">
        <v>382</v>
      </c>
    </row>
    <row r="120" spans="31:35" x14ac:dyDescent="0.3">
      <c r="AE120" t="s">
        <v>330</v>
      </c>
      <c r="AF120" t="s">
        <v>331</v>
      </c>
      <c r="AG120" t="str">
        <f t="shared" si="27"/>
        <v>Poh Ling Yap</v>
      </c>
      <c r="AI120" t="s">
        <v>383</v>
      </c>
    </row>
    <row r="121" spans="31:35" x14ac:dyDescent="0.3">
      <c r="AE121" t="s">
        <v>332</v>
      </c>
      <c r="AF121" t="s">
        <v>333</v>
      </c>
      <c r="AG121" t="str">
        <f t="shared" si="27"/>
        <v>Jhee Kuen Lam</v>
      </c>
      <c r="AI121" t="s">
        <v>384</v>
      </c>
    </row>
    <row r="122" spans="31:35" x14ac:dyDescent="0.3">
      <c r="AE122" t="s">
        <v>334</v>
      </c>
      <c r="AF122" t="s">
        <v>59</v>
      </c>
      <c r="AG122" t="str">
        <f t="shared" si="27"/>
        <v>Priscilla Lim</v>
      </c>
      <c r="AI122" t="s">
        <v>383</v>
      </c>
    </row>
    <row r="123" spans="31:35" x14ac:dyDescent="0.3">
      <c r="AE123" t="s">
        <v>335</v>
      </c>
      <c r="AF123" t="s">
        <v>336</v>
      </c>
      <c r="AG123" t="str">
        <f t="shared" si="27"/>
        <v>Isaac Hew</v>
      </c>
      <c r="AI123" t="s">
        <v>382</v>
      </c>
    </row>
    <row r="124" spans="31:35" x14ac:dyDescent="0.3">
      <c r="AE124" t="s">
        <v>337</v>
      </c>
      <c r="AF124" t="s">
        <v>211</v>
      </c>
      <c r="AG124" t="str">
        <f t="shared" si="27"/>
        <v>Tony Ang</v>
      </c>
      <c r="AI124" t="s">
        <v>384</v>
      </c>
    </row>
    <row r="125" spans="31:35" x14ac:dyDescent="0.3">
      <c r="AE125" t="s">
        <v>338</v>
      </c>
      <c r="AF125" t="s">
        <v>339</v>
      </c>
      <c r="AG125" t="str">
        <f t="shared" si="27"/>
        <v>Sokha Pheap</v>
      </c>
      <c r="AI125" t="s">
        <v>383</v>
      </c>
    </row>
    <row r="126" spans="31:35" x14ac:dyDescent="0.3">
      <c r="AE126" t="s">
        <v>340</v>
      </c>
      <c r="AF126" t="s">
        <v>59</v>
      </c>
      <c r="AG126" t="str">
        <f t="shared" si="27"/>
        <v>Yong Fook Lim</v>
      </c>
      <c r="AI126" t="s">
        <v>384</v>
      </c>
    </row>
    <row r="127" spans="31:35" x14ac:dyDescent="0.3">
      <c r="AE127" t="s">
        <v>341</v>
      </c>
      <c r="AF127" t="s">
        <v>124</v>
      </c>
      <c r="AG127" t="str">
        <f t="shared" si="27"/>
        <v>Sau Moi Wong</v>
      </c>
      <c r="AI127" t="s">
        <v>382</v>
      </c>
    </row>
    <row r="128" spans="31:35" x14ac:dyDescent="0.3">
      <c r="AE128" t="s">
        <v>342</v>
      </c>
      <c r="AF128" t="s">
        <v>59</v>
      </c>
      <c r="AG128" t="str">
        <f t="shared" si="27"/>
        <v>Jack Lim</v>
      </c>
      <c r="AI128" t="s">
        <v>382</v>
      </c>
    </row>
    <row r="129" spans="31:35" x14ac:dyDescent="0.3">
      <c r="AE129" t="s">
        <v>343</v>
      </c>
      <c r="AF129" t="s">
        <v>282</v>
      </c>
      <c r="AG129" t="str">
        <f t="shared" si="27"/>
        <v>Sok Sen Lee</v>
      </c>
      <c r="AI129" t="s">
        <v>384</v>
      </c>
    </row>
    <row r="130" spans="31:35" x14ac:dyDescent="0.3">
      <c r="AE130" t="s">
        <v>344</v>
      </c>
      <c r="AF130" t="s">
        <v>59</v>
      </c>
      <c r="AG130" t="str">
        <f t="shared" si="27"/>
        <v>Hui Ling Lim</v>
      </c>
      <c r="AI130" t="s">
        <v>382</v>
      </c>
    </row>
    <row r="131" spans="31:35" x14ac:dyDescent="0.3">
      <c r="AE131" t="s">
        <v>345</v>
      </c>
      <c r="AF131" t="s">
        <v>346</v>
      </c>
      <c r="AG131" t="str">
        <f t="shared" ref="AG131:AG162" si="28">CONCATENATE(AE131," ",AF131)</f>
        <v>Vooi Hin Chang</v>
      </c>
      <c r="AI131" t="s">
        <v>384</v>
      </c>
    </row>
    <row r="132" spans="31:35" x14ac:dyDescent="0.3">
      <c r="AE132" t="s">
        <v>347</v>
      </c>
      <c r="AF132" t="s">
        <v>59</v>
      </c>
      <c r="AG132" t="str">
        <f t="shared" si="28"/>
        <v>Hui Min Lim</v>
      </c>
      <c r="AI132" t="s">
        <v>384</v>
      </c>
    </row>
    <row r="133" spans="31:35" x14ac:dyDescent="0.3">
      <c r="AE133" t="s">
        <v>348</v>
      </c>
      <c r="AF133" t="s">
        <v>349</v>
      </c>
      <c r="AG133" t="str">
        <f t="shared" si="28"/>
        <v>Tim Wai Yong</v>
      </c>
      <c r="AI133" t="s">
        <v>382</v>
      </c>
    </row>
    <row r="134" spans="31:35" x14ac:dyDescent="0.3">
      <c r="AE134" t="s">
        <v>350</v>
      </c>
      <c r="AF134" t="s">
        <v>59</v>
      </c>
      <c r="AG134" t="str">
        <f t="shared" si="28"/>
        <v>Hui Yee Lim</v>
      </c>
      <c r="AI134" t="s">
        <v>384</v>
      </c>
    </row>
    <row r="135" spans="31:35" x14ac:dyDescent="0.3">
      <c r="AE135" t="s">
        <v>351</v>
      </c>
      <c r="AF135" t="s">
        <v>124</v>
      </c>
      <c r="AG135" t="str">
        <f t="shared" si="28"/>
        <v>Tuck Chee Wong</v>
      </c>
      <c r="AI135" t="s">
        <v>382</v>
      </c>
    </row>
    <row r="136" spans="31:35" x14ac:dyDescent="0.3">
      <c r="AE136" t="s">
        <v>352</v>
      </c>
      <c r="AF136" t="s">
        <v>59</v>
      </c>
      <c r="AG136" t="str">
        <f t="shared" si="28"/>
        <v>Anny Lim</v>
      </c>
      <c r="AI136" t="s">
        <v>382</v>
      </c>
    </row>
    <row r="137" spans="31:35" x14ac:dyDescent="0.3">
      <c r="AE137" t="s">
        <v>353</v>
      </c>
      <c r="AF137" t="s">
        <v>333</v>
      </c>
      <c r="AG137" t="str">
        <f t="shared" si="28"/>
        <v>Pai San Lam</v>
      </c>
      <c r="AI137" t="s">
        <v>383</v>
      </c>
    </row>
    <row r="138" spans="31:35" x14ac:dyDescent="0.3">
      <c r="AE138" t="s">
        <v>354</v>
      </c>
      <c r="AF138" t="s">
        <v>59</v>
      </c>
      <c r="AG138" t="str">
        <f t="shared" si="28"/>
        <v>Karen Lim</v>
      </c>
      <c r="AI138" t="s">
        <v>384</v>
      </c>
    </row>
    <row r="139" spans="31:35" x14ac:dyDescent="0.3">
      <c r="AE139" t="s">
        <v>355</v>
      </c>
      <c r="AF139" t="s">
        <v>124</v>
      </c>
      <c r="AG139" t="str">
        <f t="shared" si="28"/>
        <v>Seng Yong Wong</v>
      </c>
      <c r="AI139" t="s">
        <v>383</v>
      </c>
    </row>
    <row r="140" spans="31:35" x14ac:dyDescent="0.3">
      <c r="AE140" t="s">
        <v>356</v>
      </c>
      <c r="AF140" t="s">
        <v>59</v>
      </c>
      <c r="AG140" t="str">
        <f t="shared" si="28"/>
        <v>Hui Jye Lim</v>
      </c>
      <c r="AI140" t="s">
        <v>382</v>
      </c>
    </row>
    <row r="141" spans="31:35" x14ac:dyDescent="0.3">
      <c r="AE141" t="s">
        <v>357</v>
      </c>
      <c r="AF141" t="s">
        <v>358</v>
      </c>
      <c r="AG141" t="str">
        <f t="shared" si="28"/>
        <v>Tiong Zin Loh</v>
      </c>
      <c r="AI141" t="s">
        <v>384</v>
      </c>
    </row>
    <row r="142" spans="31:35" x14ac:dyDescent="0.3">
      <c r="AE142" t="s">
        <v>359</v>
      </c>
      <c r="AF142" t="s">
        <v>59</v>
      </c>
      <c r="AG142" t="str">
        <f t="shared" si="28"/>
        <v>Shirley Lim</v>
      </c>
      <c r="AI142" t="s">
        <v>384</v>
      </c>
    </row>
    <row r="143" spans="31:35" x14ac:dyDescent="0.3">
      <c r="AE143" t="s">
        <v>360</v>
      </c>
      <c r="AF143" t="s">
        <v>246</v>
      </c>
      <c r="AG143" t="str">
        <f t="shared" si="28"/>
        <v>Ching Yea Yeo</v>
      </c>
      <c r="AI143" t="s">
        <v>382</v>
      </c>
    </row>
    <row r="144" spans="31:35" x14ac:dyDescent="0.3">
      <c r="AE144" t="s">
        <v>361</v>
      </c>
      <c r="AF144" t="s">
        <v>59</v>
      </c>
      <c r="AG144" t="str">
        <f t="shared" si="28"/>
        <v>Kah Heng Lim</v>
      </c>
      <c r="AI144" t="s">
        <v>382</v>
      </c>
    </row>
    <row r="145" spans="31:35" x14ac:dyDescent="0.3">
      <c r="AE145" t="s">
        <v>362</v>
      </c>
      <c r="AF145" t="s">
        <v>363</v>
      </c>
      <c r="AG145" t="str">
        <f t="shared" si="28"/>
        <v>Yuki Gan</v>
      </c>
      <c r="AI145" t="s">
        <v>384</v>
      </c>
    </row>
    <row r="146" spans="31:35" x14ac:dyDescent="0.3">
      <c r="AE146" t="s">
        <v>364</v>
      </c>
      <c r="AF146" t="s">
        <v>59</v>
      </c>
      <c r="AG146" t="str">
        <f t="shared" si="28"/>
        <v>Kah Kee Lim</v>
      </c>
      <c r="AI146" t="s">
        <v>383</v>
      </c>
    </row>
    <row r="147" spans="31:35" x14ac:dyDescent="0.3">
      <c r="AE147" t="s">
        <v>82</v>
      </c>
      <c r="AF147" t="s">
        <v>358</v>
      </c>
      <c r="AG147" t="str">
        <f t="shared" si="28"/>
        <v>Elaine Loh</v>
      </c>
      <c r="AI147" t="s">
        <v>382</v>
      </c>
    </row>
    <row r="148" spans="31:35" x14ac:dyDescent="0.3">
      <c r="AE148" t="s">
        <v>365</v>
      </c>
      <c r="AF148" t="s">
        <v>59</v>
      </c>
      <c r="AG148" t="str">
        <f t="shared" si="28"/>
        <v>Ming Fei Lim</v>
      </c>
      <c r="AI148" t="s">
        <v>382</v>
      </c>
    </row>
    <row r="149" spans="31:35" x14ac:dyDescent="0.3">
      <c r="AE149" t="s">
        <v>366</v>
      </c>
      <c r="AF149" t="s">
        <v>59</v>
      </c>
      <c r="AG149" t="str">
        <f t="shared" si="28"/>
        <v>Ming Jun Lim</v>
      </c>
      <c r="AI149" t="s">
        <v>382</v>
      </c>
    </row>
    <row r="150" spans="31:35" x14ac:dyDescent="0.3">
      <c r="AE150" t="s">
        <v>367</v>
      </c>
      <c r="AF150" t="s">
        <v>3</v>
      </c>
      <c r="AG150" t="str">
        <f t="shared" si="28"/>
        <v>Colin Stewart</v>
      </c>
      <c r="AI150" t="s">
        <v>383</v>
      </c>
    </row>
    <row r="151" spans="31:35" x14ac:dyDescent="0.3">
      <c r="AE151" t="s">
        <v>368</v>
      </c>
      <c r="AG151" t="str">
        <f t="shared" si="28"/>
        <v xml:space="preserve">Sarena </v>
      </c>
      <c r="AI151" t="s">
        <v>384</v>
      </c>
    </row>
    <row r="152" spans="31:35" x14ac:dyDescent="0.3">
      <c r="AE152" t="s">
        <v>369</v>
      </c>
      <c r="AF152" t="s">
        <v>370</v>
      </c>
      <c r="AG152" t="str">
        <f t="shared" si="28"/>
        <v>Xin-Dee Low</v>
      </c>
      <c r="AI152" t="s">
        <v>384</v>
      </c>
    </row>
    <row r="153" spans="31:35" x14ac:dyDescent="0.3">
      <c r="AE153" t="s">
        <v>371</v>
      </c>
      <c r="AF153" t="s">
        <v>205</v>
      </c>
      <c r="AG153" t="str">
        <f t="shared" si="28"/>
        <v>Yong Jian Koo</v>
      </c>
      <c r="AI153" t="s">
        <v>383</v>
      </c>
    </row>
    <row r="154" spans="31:35" x14ac:dyDescent="0.3">
      <c r="AE154" t="s">
        <v>290</v>
      </c>
      <c r="AF154" t="s">
        <v>160</v>
      </c>
      <c r="AG154" t="str">
        <f t="shared" si="28"/>
        <v>Brian Hsu</v>
      </c>
      <c r="AI154" t="s">
        <v>384</v>
      </c>
    </row>
    <row r="155" spans="31:35" x14ac:dyDescent="0.3">
      <c r="AE155" t="s">
        <v>372</v>
      </c>
      <c r="AF155" t="s">
        <v>373</v>
      </c>
      <c r="AG155" t="str">
        <f t="shared" si="28"/>
        <v>Onnelea Sandosam</v>
      </c>
      <c r="AI155" t="s">
        <v>382</v>
      </c>
    </row>
    <row r="156" spans="31:35" x14ac:dyDescent="0.3">
      <c r="AE156" t="s">
        <v>374</v>
      </c>
      <c r="AF156" t="s">
        <v>59</v>
      </c>
      <c r="AG156" t="str">
        <f t="shared" si="28"/>
        <v>Reuben Lim</v>
      </c>
      <c r="AI156" t="s">
        <v>383</v>
      </c>
    </row>
    <row r="157" spans="31:35" x14ac:dyDescent="0.3">
      <c r="AE157" t="s">
        <v>375</v>
      </c>
      <c r="AF157" t="s">
        <v>59</v>
      </c>
      <c r="AG157" t="str">
        <f t="shared" si="28"/>
        <v>Zhe Hui Lim</v>
      </c>
      <c r="AI157" t="s">
        <v>382</v>
      </c>
    </row>
    <row r="158" spans="31:35" x14ac:dyDescent="0.3">
      <c r="AE158" t="s">
        <v>376</v>
      </c>
      <c r="AF158" t="s">
        <v>59</v>
      </c>
      <c r="AG158" t="str">
        <f t="shared" si="28"/>
        <v>Eunice Lim</v>
      </c>
      <c r="AI158" t="s">
        <v>384</v>
      </c>
    </row>
    <row r="159" spans="31:35" x14ac:dyDescent="0.3">
      <c r="AE159" t="s">
        <v>377</v>
      </c>
      <c r="AF159" t="s">
        <v>378</v>
      </c>
      <c r="AG159" t="str">
        <f t="shared" si="28"/>
        <v>Zheng Yang Au</v>
      </c>
      <c r="AI159" t="s">
        <v>383</v>
      </c>
    </row>
    <row r="160" spans="31:35" x14ac:dyDescent="0.3">
      <c r="AE160" t="s">
        <v>379</v>
      </c>
      <c r="AF160" t="s">
        <v>215</v>
      </c>
      <c r="AG160" t="str">
        <f t="shared" si="28"/>
        <v>Yen Ting Chong</v>
      </c>
      <c r="AI160" t="s">
        <v>384</v>
      </c>
    </row>
    <row r="161" spans="31:35" x14ac:dyDescent="0.3">
      <c r="AE161" t="s">
        <v>266</v>
      </c>
      <c r="AF161" t="s">
        <v>380</v>
      </c>
      <c r="AG161" t="str">
        <f t="shared" si="28"/>
        <v>Tan TL</v>
      </c>
      <c r="AI161" t="s">
        <v>382</v>
      </c>
    </row>
    <row r="162" spans="31:35" x14ac:dyDescent="0.3">
      <c r="AE162" t="s">
        <v>381</v>
      </c>
      <c r="AG162" t="str">
        <f t="shared" si="28"/>
        <v xml:space="preserve">Samantha </v>
      </c>
      <c r="AI162" t="s">
        <v>384</v>
      </c>
    </row>
  </sheetData>
  <mergeCells count="10">
    <mergeCell ref="B46:E46"/>
    <mergeCell ref="G46:J46"/>
    <mergeCell ref="L46:O46"/>
    <mergeCell ref="Q46:T46"/>
    <mergeCell ref="V46:Y46"/>
    <mergeCell ref="F5:G5"/>
    <mergeCell ref="I5:J5"/>
    <mergeCell ref="L5:M5"/>
    <mergeCell ref="I40:J40"/>
    <mergeCell ref="G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 List - for print</vt:lpstr>
      <vt:lpstr>Seating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Tay</cp:lastModifiedBy>
  <dcterms:created xsi:type="dcterms:W3CDTF">2026-07-05T14:14:18Z</dcterms:created>
  <dcterms:modified xsi:type="dcterms:W3CDTF">2026-07-07T15:20:14Z</dcterms:modified>
</cp:coreProperties>
</file>